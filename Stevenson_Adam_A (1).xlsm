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adams\coding\VBA-Financial-Planner\"/>
    </mc:Choice>
  </mc:AlternateContent>
  <xr:revisionPtr revIDLastSave="0" documentId="13_ncr:1_{D3EB4C7E-5275-4F3F-BA9A-8327D0EB2AE2}" xr6:coauthVersionLast="47" xr6:coauthVersionMax="47" xr10:uidLastSave="{00000000-0000-0000-0000-000000000000}"/>
  <bookViews>
    <workbookView xWindow="-110" yWindow="-110" windowWidth="19420" windowHeight="11620" firstSheet="3" activeTab="3" xr2:uid="{00000000-000D-0000-FFFF-FFFF00000000}"/>
  </bookViews>
  <sheets>
    <sheet name="Investments" sheetId="6" r:id="rId1"/>
    <sheet name="Expenses&amp;Incomes" sheetId="1" r:id="rId2"/>
    <sheet name="Expenses&amp;Incomes - Expanded" sheetId="9" r:id="rId3"/>
    <sheet name="Expenses&amp;Incomes Charts" sheetId="137" r:id="rId4"/>
    <sheet name="Output - Expenses&amp;Incomes" sheetId="10" r:id="rId5"/>
    <sheet name="Budget&amp;Goals" sheetId="5" r:id="rId6"/>
    <sheet name="Financial Advice" sheetId="89" r:id="rId7"/>
  </sheets>
  <calcPr calcId="191028"/>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 i="137" l="1"/>
  <c r="L3" i="137"/>
  <c r="L2" i="137"/>
  <c r="C5" i="6"/>
  <c r="E5" i="6" s="1"/>
  <c r="C4" i="6"/>
  <c r="E4" i="6" s="1"/>
  <c r="C3" i="6"/>
  <c r="E3" i="6" s="1"/>
  <c r="I8" i="1"/>
  <c r="I7" i="1"/>
  <c r="I6" i="1"/>
  <c r="I5" i="1"/>
  <c r="I4" i="1"/>
  <c r="I3" i="1"/>
  <c r="Q5" i="1"/>
  <c r="Q4" i="1"/>
  <c r="Q3" i="1"/>
  <c r="Q2" i="10"/>
  <c r="P2" i="10"/>
  <c r="D3" i="5"/>
  <c r="T2" i="1" l="1"/>
  <c r="T3" i="1"/>
  <c r="T4" i="1" l="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3">
    <bk>
      <extLst>
        <ext uri="{3e2802c4-a4d2-4d8b-9148-e3be6c30e623}">
          <xlrd:rvb i="6"/>
        </ext>
      </extLst>
    </bk>
    <bk>
      <extLst>
        <ext uri="{3e2802c4-a4d2-4d8b-9148-e3be6c30e623}">
          <xlrd:rvb i="9"/>
        </ext>
      </extLst>
    </bk>
    <bk>
      <extLst>
        <ext uri="{3e2802c4-a4d2-4d8b-9148-e3be6c30e623}">
          <xlrd:rvb i="15"/>
        </ext>
      </extLst>
    </bk>
  </futureMetadata>
  <valueMetadata count="3">
    <bk>
      <rc t="1" v="0"/>
    </bk>
    <bk>
      <rc t="1" v="1"/>
    </bk>
    <bk>
      <rc t="1" v="2"/>
    </bk>
  </valueMetadata>
</metadata>
</file>

<file path=xl/sharedStrings.xml><?xml version="1.0" encoding="utf-8"?>
<sst xmlns="http://schemas.openxmlformats.org/spreadsheetml/2006/main" count="4666" uniqueCount="81">
  <si>
    <t>Date</t>
  </si>
  <si>
    <t>Item</t>
  </si>
  <si>
    <t>Category</t>
  </si>
  <si>
    <t>Description</t>
  </si>
  <si>
    <t>Ticker</t>
  </si>
  <si>
    <t>#Shares</t>
  </si>
  <si>
    <t>Priority</t>
  </si>
  <si>
    <t>Savings</t>
  </si>
  <si>
    <t>Account name</t>
  </si>
  <si>
    <t>As of date</t>
  </si>
  <si>
    <t>Food</t>
  </si>
  <si>
    <t>Entertainment</t>
  </si>
  <si>
    <t>Amount    ($)</t>
  </si>
  <si>
    <t>Frequency (/yr)</t>
  </si>
  <si>
    <t>Total              ($/yr)</t>
  </si>
  <si>
    <t>Investments</t>
  </si>
  <si>
    <t>Total Value      ($)</t>
  </si>
  <si>
    <t>Account Value      ($)</t>
  </si>
  <si>
    <t>Price                 ($)</t>
  </si>
  <si>
    <t>Return rate        (% / yr)</t>
  </si>
  <si>
    <t xml:space="preserve"> </t>
  </si>
  <si>
    <t>Total Expenses</t>
  </si>
  <si>
    <t>Total Income</t>
  </si>
  <si>
    <t>Yearly data</t>
  </si>
  <si>
    <t>Other</t>
  </si>
  <si>
    <t>TD</t>
  </si>
  <si>
    <t>SCOTIA</t>
  </si>
  <si>
    <t>RBC</t>
  </si>
  <si>
    <t>Job</t>
  </si>
  <si>
    <t>Allowance</t>
  </si>
  <si>
    <t>Tuition</t>
  </si>
  <si>
    <t>Academic</t>
  </si>
  <si>
    <t>Value ($)</t>
  </si>
  <si>
    <t>Low</t>
  </si>
  <si>
    <t>High</t>
  </si>
  <si>
    <t>Medium</t>
  </si>
  <si>
    <t>Campus Pizza</t>
  </si>
  <si>
    <t>Net Income</t>
  </si>
  <si>
    <t>My Budget (monthly)</t>
  </si>
  <si>
    <t>Total:</t>
  </si>
  <si>
    <t>Yearly Expenses</t>
  </si>
  <si>
    <t>Yearly Incomes</t>
  </si>
  <si>
    <t>Expenses (roughly expanded over 5 years)</t>
  </si>
  <si>
    <t>Amount ($)</t>
  </si>
  <si>
    <t>Yum</t>
  </si>
  <si>
    <t>Achieve By:</t>
  </si>
  <si>
    <t>Goals</t>
  </si>
  <si>
    <t>Required Savings ($)</t>
  </si>
  <si>
    <t>Incomes (expanded)</t>
  </si>
  <si>
    <t>Expenses</t>
  </si>
  <si>
    <t>Incomes</t>
  </si>
  <si>
    <t>Start</t>
  </si>
  <si>
    <t>End</t>
  </si>
  <si>
    <t>Partying</t>
  </si>
  <si>
    <t>Rent</t>
  </si>
  <si>
    <t>Total Incomes:</t>
  </si>
  <si>
    <t>Volleyball</t>
  </si>
  <si>
    <t>Exercise</t>
  </si>
  <si>
    <t>Gym Membership</t>
  </si>
  <si>
    <t>Row Labels</t>
  </si>
  <si>
    <t>Grand Total</t>
  </si>
  <si>
    <t>Sum of Amount ($)</t>
  </si>
  <si>
    <t>Column Labels</t>
  </si>
  <si>
    <t>Datatype</t>
  </si>
  <si>
    <t>Total</t>
  </si>
  <si>
    <t>Net Income:</t>
  </si>
  <si>
    <t>Total Incomes</t>
  </si>
  <si>
    <t>Achieve Savings of $30 000</t>
  </si>
  <si>
    <t>Buy Car</t>
  </si>
  <si>
    <t>Buy 2 shares of Apple</t>
  </si>
  <si>
    <t>Coop</t>
  </si>
  <si>
    <t>6 terms / 5 years = 1.2</t>
  </si>
  <si>
    <t>1.2 terms / 5 years</t>
  </si>
  <si>
    <t>Online Work</t>
  </si>
  <si>
    <t>Be a millionaire!</t>
  </si>
  <si>
    <t>Sample data</t>
  </si>
  <si>
    <t>Sample Data</t>
  </si>
  <si>
    <t>Exercise 2</t>
  </si>
  <si>
    <t>fun</t>
  </si>
  <si>
    <t>CMH/Blair House</t>
  </si>
  <si>
    <t>8 terms/5 years =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</si>
</sst>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5" formatCode="_([$$-409]* #,##0.00_);_([$$-409]* \(#,##0.00\);_([$$-409]* &quot;-&quot;??_);_(@_)"/>
    <numFmt numFmtId="166" formatCode="_-[$$-1009]* #,##0.00_-;\-[$$-1009]* #,##0.00_-;_-[$$-1009]* &quot;-&quot;??_-;_-@_-"/>
    <numFmt numFmtId="167" formatCode="yyyy\-mm\-dd;@"/>
    <numFmt numFmtId="168" formatCode="&quot;$&quot;#,##0.00"/>
    <numFmt numFmtId="169" formatCode="_-[$$-2C0A]\ * #,##0.00_-;\-[$$-2C0A]\ * #,##0.00_-;_-[$$-2C0A]\ * &quot;-&quot;??_-;_-@_-"/>
    <numFmt numFmtId="170" formatCode="_-[$R$-416]\ * #,##0.00_-;\-[$R$-416]\ * #,##0.00_-;_-[$R$-416]\ * &quot;-&quot;??_-;_-@_-"/>
  </numFmts>
  <fonts count="10" x14ac:knownFonts="1">
    <font>
      <sz val="11"/>
      <color theme="1"/>
      <name val="Calibri"/>
      <family val="2"/>
      <scheme val="minor"/>
    </font>
    <font>
      <sz val="11"/>
      <color theme="0"/>
      <name val="Calibri"/>
      <family val="2"/>
      <scheme val="minor"/>
    </font>
    <font>
      <b/>
      <sz val="11"/>
      <color theme="1"/>
      <name val="Calibri"/>
      <family val="2"/>
      <scheme val="minor"/>
    </font>
    <font>
      <sz val="11"/>
      <color rgb="FF000000"/>
      <name val="Calibri"/>
      <family val="2"/>
    </font>
    <font>
      <b/>
      <sz val="20"/>
      <color theme="1"/>
      <name val="Calibri"/>
      <family val="2"/>
      <scheme val="minor"/>
    </font>
    <font>
      <sz val="12"/>
      <color theme="1"/>
      <name val="Calibri"/>
      <family val="2"/>
      <scheme val="minor"/>
    </font>
    <font>
      <sz val="11"/>
      <color rgb="FFFF0000"/>
      <name val="Calibri"/>
      <family val="2"/>
    </font>
    <font>
      <sz val="11"/>
      <color rgb="FF008000"/>
      <name val="Calibri"/>
      <family val="2"/>
    </font>
    <font>
      <b/>
      <sz val="12"/>
      <color theme="1"/>
      <name val="Calibri"/>
      <family val="2"/>
      <scheme val="minor"/>
    </font>
    <font>
      <b/>
      <sz val="18"/>
      <color theme="0"/>
      <name val="Calibri"/>
      <family val="2"/>
      <scheme val="minor"/>
    </font>
  </fonts>
  <fills count="15">
    <fill>
      <patternFill patternType="none"/>
    </fill>
    <fill>
      <patternFill patternType="gray125"/>
    </fill>
    <fill>
      <patternFill patternType="solid">
        <fgColor theme="8"/>
      </patternFill>
    </fill>
    <fill>
      <patternFill patternType="solid">
        <fgColor rgb="FFFF0000"/>
        <bgColor indexed="64"/>
      </patternFill>
    </fill>
    <fill>
      <patternFill patternType="solid">
        <fgColor rgb="FFC00000"/>
        <bgColor indexed="64"/>
      </patternFill>
    </fill>
    <fill>
      <patternFill patternType="solid">
        <fgColor theme="9" tint="-0.24994659260841701"/>
        <bgColor indexed="64"/>
      </patternFill>
    </fill>
    <fill>
      <patternFill patternType="solid">
        <fgColor theme="9"/>
        <bgColor indexed="64"/>
      </patternFill>
    </fill>
    <fill>
      <patternFill patternType="solid">
        <fgColor rgb="FF00B0F0"/>
        <bgColor indexed="64"/>
      </patternFill>
    </fill>
    <fill>
      <patternFill patternType="solid">
        <fgColor rgb="FF0070C0"/>
        <bgColor indexed="64"/>
      </patternFill>
    </fill>
    <fill>
      <patternFill patternType="solid">
        <fgColor theme="7" tint="0.59996337778862885"/>
        <bgColor indexed="64"/>
      </patternFill>
    </fill>
    <fill>
      <patternFill patternType="solid">
        <fgColor theme="7" tint="0.79998168889431442"/>
        <bgColor indexed="64"/>
      </patternFill>
    </fill>
    <fill>
      <patternFill patternType="solid">
        <fgColor theme="7" tint="0.39994506668294322"/>
        <bgColor indexed="64"/>
      </patternFill>
    </fill>
    <fill>
      <patternFill patternType="solid">
        <fgColor theme="1"/>
        <bgColor indexed="64"/>
      </patternFill>
    </fill>
    <fill>
      <patternFill patternType="solid">
        <fgColor theme="7" tint="0.39991454817346722"/>
        <bgColor indexed="64"/>
      </patternFill>
    </fill>
    <fill>
      <patternFill patternType="solid">
        <fgColor theme="8" tint="0.79998168889431442"/>
        <bgColor indexed="64"/>
      </patternFill>
    </fill>
  </fills>
  <borders count="4">
    <border>
      <left/>
      <right/>
      <top/>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64">
    <xf numFmtId="0" fontId="0" fillId="0" borderId="0" xfId="0"/>
    <xf numFmtId="167" fontId="0" fillId="0" borderId="0" xfId="0" applyNumberFormat="1"/>
    <xf numFmtId="0" fontId="5" fillId="0" borderId="0" xfId="0" applyFont="1" applyFill="1"/>
    <xf numFmtId="0" fontId="0" fillId="0" borderId="0" xfId="0" applyFill="1"/>
    <xf numFmtId="0" fontId="0" fillId="3" borderId="0" xfId="0" applyFill="1"/>
    <xf numFmtId="0" fontId="0" fillId="6" borderId="0" xfId="0" applyFill="1"/>
    <xf numFmtId="0" fontId="1" fillId="4" borderId="1" xfId="1" applyFill="1" applyBorder="1" applyAlignment="1">
      <alignment wrapText="1"/>
    </xf>
    <xf numFmtId="0" fontId="1" fillId="4" borderId="0" xfId="1" applyFill="1" applyBorder="1" applyAlignment="1">
      <alignment wrapText="1"/>
    </xf>
    <xf numFmtId="0" fontId="1" fillId="5" borderId="1" xfId="1" applyFill="1" applyBorder="1" applyAlignment="1">
      <alignment wrapText="1"/>
    </xf>
    <xf numFmtId="0" fontId="1" fillId="5" borderId="2" xfId="1" applyFill="1" applyBorder="1" applyAlignment="1">
      <alignment wrapText="1"/>
    </xf>
    <xf numFmtId="0" fontId="1" fillId="5" borderId="0" xfId="1" applyFill="1" applyBorder="1" applyAlignment="1">
      <alignment wrapText="1"/>
    </xf>
    <xf numFmtId="0" fontId="0" fillId="4" borderId="0" xfId="0" applyFill="1"/>
    <xf numFmtId="0" fontId="0" fillId="5" borderId="0" xfId="0" applyFill="1"/>
    <xf numFmtId="168" fontId="0" fillId="0" borderId="0" xfId="0" applyNumberFormat="1"/>
    <xf numFmtId="0" fontId="4" fillId="3" borderId="0" xfId="0" applyFont="1" applyFill="1" applyAlignment="1"/>
    <xf numFmtId="0" fontId="4" fillId="6" borderId="0" xfId="0" applyFont="1" applyFill="1"/>
    <xf numFmtId="0" fontId="0" fillId="7" borderId="0" xfId="0" applyFill="1"/>
    <xf numFmtId="0" fontId="0" fillId="8" borderId="0" xfId="0" applyFill="1"/>
    <xf numFmtId="0" fontId="0" fillId="7" borderId="0" xfId="0" applyFill="1" applyAlignment="1">
      <alignment wrapText="1"/>
    </xf>
    <xf numFmtId="0" fontId="1" fillId="8" borderId="0" xfId="0" applyFont="1" applyFill="1" applyAlignment="1">
      <alignment wrapText="1"/>
    </xf>
    <xf numFmtId="0" fontId="2" fillId="8" borderId="0" xfId="0" applyFont="1" applyFill="1" applyAlignment="1">
      <alignment wrapText="1"/>
    </xf>
    <xf numFmtId="0" fontId="0" fillId="8" borderId="0" xfId="0" applyFill="1" applyAlignment="1">
      <alignment wrapText="1"/>
    </xf>
    <xf numFmtId="0" fontId="0" fillId="0" borderId="0" xfId="0" applyAlignment="1">
      <alignment wrapText="1"/>
    </xf>
    <xf numFmtId="0" fontId="4" fillId="7" borderId="0" xfId="0" applyFont="1" applyFill="1" applyAlignment="1"/>
    <xf numFmtId="165" fontId="0" fillId="0" borderId="0" xfId="0" applyNumberFormat="1"/>
    <xf numFmtId="169" fontId="0" fillId="0" borderId="0" xfId="0" applyNumberFormat="1"/>
    <xf numFmtId="166" fontId="0" fillId="0" borderId="0" xfId="0" applyNumberFormat="1"/>
    <xf numFmtId="170" fontId="0" fillId="0" borderId="0" xfId="0" applyNumberFormat="1"/>
    <xf numFmtId="14" fontId="0" fillId="0" borderId="0" xfId="0" applyNumberFormat="1"/>
    <xf numFmtId="10" fontId="0" fillId="0" borderId="0" xfId="0" applyNumberFormat="1"/>
    <xf numFmtId="0" fontId="0" fillId="10" borderId="0" xfId="0" applyFill="1" applyAlignment="1">
      <alignment wrapText="1"/>
    </xf>
    <xf numFmtId="0" fontId="1" fillId="4" borderId="2" xfId="1" applyFill="1" applyBorder="1" applyAlignment="1">
      <alignment wrapText="1"/>
    </xf>
    <xf numFmtId="0" fontId="0" fillId="0" borderId="0" xfId="0" applyFill="1" applyAlignment="1">
      <alignment wrapText="1"/>
    </xf>
    <xf numFmtId="168" fontId="0" fillId="10" borderId="0" xfId="0" applyNumberFormat="1" applyFill="1" applyAlignment="1">
      <alignment wrapText="1"/>
    </xf>
    <xf numFmtId="168" fontId="2" fillId="0" borderId="0" xfId="0" applyNumberFormat="1" applyFont="1"/>
    <xf numFmtId="0" fontId="2" fillId="10" borderId="0" xfId="0" applyFont="1" applyFill="1" applyAlignment="1">
      <alignment wrapText="1"/>
    </xf>
    <xf numFmtId="0" fontId="2" fillId="9" borderId="0" xfId="0" applyFont="1" applyFill="1" applyAlignment="1">
      <alignment wrapText="1"/>
    </xf>
    <xf numFmtId="0" fontId="4" fillId="9" borderId="0" xfId="0" applyFont="1" applyFill="1"/>
    <xf numFmtId="0" fontId="0" fillId="9" borderId="0" xfId="0" applyFill="1"/>
    <xf numFmtId="0" fontId="8" fillId="11" borderId="0" xfId="0" applyFont="1" applyFill="1"/>
    <xf numFmtId="168" fontId="5" fillId="0" borderId="0" xfId="0" applyNumberFormat="1" applyFont="1" applyFill="1"/>
    <xf numFmtId="168" fontId="0" fillId="0" borderId="0" xfId="0" applyNumberFormat="1" applyFont="1" applyFill="1"/>
    <xf numFmtId="168" fontId="2" fillId="0" borderId="0" xfId="0" applyNumberFormat="1" applyFont="1" applyFill="1"/>
    <xf numFmtId="22" fontId="0" fillId="0" borderId="0" xfId="0" applyNumberFormat="1"/>
    <xf numFmtId="0" fontId="1" fillId="7" borderId="1" xfId="1" applyFill="1" applyBorder="1" applyAlignment="1">
      <alignment wrapText="1"/>
    </xf>
    <xf numFmtId="0" fontId="1" fillId="7" borderId="0" xfId="1" applyFill="1" applyBorder="1" applyAlignment="1">
      <alignment wrapText="1"/>
    </xf>
    <xf numFmtId="0" fontId="1" fillId="7" borderId="2" xfId="1" applyFill="1" applyBorder="1" applyAlignment="1">
      <alignment wrapText="1"/>
    </xf>
    <xf numFmtId="0" fontId="5" fillId="9" borderId="0" xfId="0" applyFont="1" applyFill="1"/>
    <xf numFmtId="0" fontId="0" fillId="11" borderId="0" xfId="0" applyFill="1"/>
    <xf numFmtId="0" fontId="5" fillId="11" borderId="0" xfId="0" applyFont="1" applyFill="1"/>
    <xf numFmtId="0" fontId="4" fillId="6" borderId="0" xfId="0" applyFont="1" applyFill="1" applyAlignment="1"/>
    <xf numFmtId="0" fontId="0" fillId="12" borderId="0" xfId="0" applyFill="1"/>
    <xf numFmtId="0" fontId="9" fillId="12" borderId="0" xfId="0" applyFont="1" applyFill="1"/>
    <xf numFmtId="167" fontId="1" fillId="7" borderId="0" xfId="0" applyNumberFormat="1" applyFont="1" applyFill="1"/>
    <xf numFmtId="167" fontId="0" fillId="7" borderId="0" xfId="0" applyNumberFormat="1" applyFill="1"/>
    <xf numFmtId="167" fontId="0" fillId="0" borderId="0" xfId="0" applyNumberFormat="1" applyFill="1"/>
    <xf numFmtId="0" fontId="2" fillId="7" borderId="0" xfId="0" applyFont="1" applyFill="1"/>
    <xf numFmtId="0" fontId="0" fillId="0" borderId="0" xfId="0" pivotButton="1"/>
    <xf numFmtId="0" fontId="0" fillId="0" borderId="0" xfId="0" applyAlignment="1">
      <alignment horizontal="left"/>
    </xf>
    <xf numFmtId="0" fontId="0" fillId="0" borderId="0" xfId="0" applyNumberFormat="1"/>
    <xf numFmtId="0" fontId="2" fillId="3" borderId="3" xfId="0" applyFont="1" applyFill="1" applyBorder="1"/>
    <xf numFmtId="0" fontId="2" fillId="6" borderId="3" xfId="0" applyFont="1" applyFill="1" applyBorder="1"/>
    <xf numFmtId="0" fontId="2" fillId="13" borderId="3" xfId="0" applyFont="1" applyFill="1" applyBorder="1"/>
    <xf numFmtId="0" fontId="0" fillId="14" borderId="0" xfId="0" applyFill="1"/>
  </cellXfs>
  <cellStyles count="2">
    <cellStyle name="Accent5" xfId="1" builtinId="45"/>
    <cellStyle name="Normal" xfId="0" builtinId="0"/>
  </cellStyles>
  <dxfs count="4">
    <dxf>
      <font>
        <color rgb="FF9C0006"/>
      </font>
      <fill>
        <patternFill>
          <fgColor indexed="64"/>
          <bgColor rgb="FFFFC7CE"/>
        </patternFill>
      </fill>
    </dxf>
    <dxf>
      <font>
        <color rgb="FF006100"/>
      </font>
      <fill>
        <patternFill>
          <fgColor indexed="64"/>
          <bgColor rgb="FFC6EF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Medium9"/>
  <colors>
    <mruColors>
      <color rgb="FF9A26BE"/>
      <color rgb="FF841DEB"/>
      <color rgb="FFFF9999"/>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06/relationships/rdRichValue" Target="richData/rdrichvalue.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ichStyles" Target="richData/richStyles.xml"/><Relationship Id="rId23" Type="http://schemas.microsoft.com/office/2006/relationships/vbaProject" Target="vbaProject.bin"/><Relationship Id="rId10" Type="http://schemas.openxmlformats.org/officeDocument/2006/relationships/styles" Target="style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[Stevenson_Adam_A (1).xlsm]Expenses&amp;Incomes Charts!PivotTable1</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CA"/>
              <a:t>Expenses by Category and Priority</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solidFill>
            <a:srgbClr val="00FF00"/>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FF00"/>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'Expenses&amp;Incomes Charts'!$B$1:$B$2</c:f>
              <c:strCache>
                <c:ptCount val="1"/>
                <c:pt idx="0">
                  <c:v>Low</c:v>
                </c:pt>
              </c:strCache>
            </c:strRef>
          </c:tx>
          <c:spPr>
            <a:solidFill>
              <a:srgbClr val="00FF00"/>
            </a:solidFill>
            <a:ln w="9525" cap="flat" cmpd="sng" algn="ctr">
              <a:solidFill>
                <a:schemeClr val="accent1"/>
              </a:solidFill>
              <a:miter lim="800000"/>
            </a:ln>
            <a:effectLst>
              <a:glow rad="63500">
                <a:schemeClr val="accent1">
                  <a:satMod val="175000"/>
                  <a:alpha val="25000"/>
                </a:schemeClr>
              </a:glow>
            </a:effectLst>
          </c:spPr>
          <c:invertIfNegative val="0"/>
          <c:cat>
            <c:strRef>
              <c:f>'Expenses&amp;Incomes Charts'!$A$3:$A$7</c:f>
              <c:strCache>
                <c:ptCount val="4"/>
                <c:pt idx="0">
                  <c:v>Academic</c:v>
                </c:pt>
                <c:pt idx="1">
                  <c:v>Entertainment</c:v>
                </c:pt>
                <c:pt idx="2">
                  <c:v>Food</c:v>
                </c:pt>
                <c:pt idx="3">
                  <c:v>Other</c:v>
                </c:pt>
              </c:strCache>
            </c:strRef>
          </c:cat>
          <c:val>
            <c:numRef>
              <c:f>'Expenses&amp;Incomes Charts'!$B$3:$B$7</c:f>
              <c:numCache>
                <c:formatCode>General</c:formatCode>
                <c:ptCount val="4"/>
                <c:pt idx="1">
                  <c:v>8000</c:v>
                </c:pt>
                <c:pt idx="2">
                  <c:v>800</c:v>
                </c:pt>
              </c:numCache>
            </c:numRef>
          </c:val>
          <c:extLst>
            <c:ext xmlns:c16="http://schemas.microsoft.com/office/drawing/2014/chart" uri="{C3380CC4-5D6E-409C-BE32-E72D297353CC}">
              <c16:uniqueId val="{00000000-10F8-4BE0-8712-6A6214DECB06}"/>
            </c:ext>
          </c:extLst>
        </c:ser>
        <c:ser>
          <c:idx val="1"/>
          <c:order val="1"/>
          <c:tx>
            <c:strRef>
              <c:f>'Expenses&amp;Incomes Charts'!$C$1:$C$2</c:f>
              <c:strCache>
                <c:ptCount val="1"/>
                <c:pt idx="0">
                  <c:v>Medium</c:v>
                </c:pt>
              </c:strCache>
            </c:strRef>
          </c:tx>
          <c:spPr>
            <a:solidFill>
              <a:srgbClr val="FFFF00"/>
            </a:solidFill>
            <a:ln w="9525" cap="flat" cmpd="sng" algn="ctr">
              <a:solidFill>
                <a:schemeClr val="accent2"/>
              </a:solidFill>
              <a:miter lim="800000"/>
            </a:ln>
            <a:effectLst>
              <a:glow rad="63500">
                <a:schemeClr val="accent2">
                  <a:satMod val="175000"/>
                  <a:alpha val="25000"/>
                </a:schemeClr>
              </a:glow>
            </a:effectLst>
          </c:spPr>
          <c:invertIfNegative val="0"/>
          <c:cat>
            <c:strRef>
              <c:f>'Expenses&amp;Incomes Charts'!$A$3:$A$7</c:f>
              <c:strCache>
                <c:ptCount val="4"/>
                <c:pt idx="0">
                  <c:v>Academic</c:v>
                </c:pt>
                <c:pt idx="1">
                  <c:v>Entertainment</c:v>
                </c:pt>
                <c:pt idx="2">
                  <c:v>Food</c:v>
                </c:pt>
                <c:pt idx="3">
                  <c:v>Other</c:v>
                </c:pt>
              </c:strCache>
            </c:strRef>
          </c:cat>
          <c:val>
            <c:numRef>
              <c:f>'Expenses&amp;Incomes Charts'!$C$3:$C$7</c:f>
              <c:numCache>
                <c:formatCode>General</c:formatCode>
                <c:ptCount val="4"/>
                <c:pt idx="1">
                  <c:v>1200</c:v>
                </c:pt>
                <c:pt idx="3">
                  <c:v>925</c:v>
                </c:pt>
              </c:numCache>
            </c:numRef>
          </c:val>
          <c:extLst>
            <c:ext xmlns:c16="http://schemas.microsoft.com/office/drawing/2014/chart" uri="{C3380CC4-5D6E-409C-BE32-E72D297353CC}">
              <c16:uniqueId val="{00000001-10F8-4BE0-8712-6A6214DECB06}"/>
            </c:ext>
          </c:extLst>
        </c:ser>
        <c:ser>
          <c:idx val="2"/>
          <c:order val="2"/>
          <c:tx>
            <c:strRef>
              <c:f>'Expenses&amp;Incomes Charts'!$D$1:$D$2</c:f>
              <c:strCache>
                <c:ptCount val="1"/>
                <c:pt idx="0">
                  <c:v>High</c:v>
                </c:pt>
              </c:strCache>
            </c:strRef>
          </c:tx>
          <c:spPr>
            <a:solidFill>
              <a:srgbClr val="FF0000"/>
            </a:solidFill>
            <a:ln w="9525" cap="flat" cmpd="sng" algn="ctr">
              <a:solidFill>
                <a:schemeClr val="accent3"/>
              </a:solidFill>
              <a:miter lim="800000"/>
            </a:ln>
            <a:effectLst>
              <a:glow rad="63500">
                <a:schemeClr val="accent3">
                  <a:satMod val="175000"/>
                  <a:alpha val="25000"/>
                </a:schemeClr>
              </a:glow>
            </a:effectLst>
          </c:spPr>
          <c:invertIfNegative val="0"/>
          <c:cat>
            <c:strRef>
              <c:f>'Expenses&amp;Incomes Charts'!$A$3:$A$7</c:f>
              <c:strCache>
                <c:ptCount val="4"/>
                <c:pt idx="0">
                  <c:v>Academic</c:v>
                </c:pt>
                <c:pt idx="1">
                  <c:v>Entertainment</c:v>
                </c:pt>
                <c:pt idx="2">
                  <c:v>Food</c:v>
                </c:pt>
                <c:pt idx="3">
                  <c:v>Other</c:v>
                </c:pt>
              </c:strCache>
            </c:strRef>
          </c:cat>
          <c:val>
            <c:numRef>
              <c:f>'Expenses&amp;Incomes Charts'!$D$3:$D$7</c:f>
              <c:numCache>
                <c:formatCode>General</c:formatCode>
                <c:ptCount val="4"/>
                <c:pt idx="0">
                  <c:v>40000</c:v>
                </c:pt>
                <c:pt idx="3">
                  <c:v>37000</c:v>
                </c:pt>
              </c:numCache>
            </c:numRef>
          </c:val>
          <c:extLst>
            <c:ext xmlns:c16="http://schemas.microsoft.com/office/drawing/2014/chart" uri="{C3380CC4-5D6E-409C-BE32-E72D297353CC}">
              <c16:uniqueId val="{00000002-10F8-4BE0-8712-6A6214DECB06}"/>
            </c:ext>
          </c:extLst>
        </c:ser>
        <c:dLbls>
          <c:showLegendKey val="0"/>
          <c:showVal val="0"/>
          <c:showCatName val="0"/>
          <c:showSerName val="0"/>
          <c:showPercent val="0"/>
          <c:showBubbleSize val="0"/>
        </c:dLbls>
        <c:gapWidth val="315"/>
        <c:overlap val="-40"/>
        <c:axId val="1163900576"/>
        <c:axId val="1163887264"/>
      </c:barChart>
      <c:catAx>
        <c:axId val="116390057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CA"/>
                  <a:t>Category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63887264"/>
        <c:crosses val="autoZero"/>
        <c:auto val="1"/>
        <c:lblAlgn val="ctr"/>
        <c:lblOffset val="100"/>
        <c:noMultiLvlLbl val="0"/>
      </c:catAx>
      <c:valAx>
        <c:axId val="116388726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CA"/>
                  <a:t>Sum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63900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Net Income (For Selected Period)</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1-856F-4D83-9BC4-A8AC04B96163}"/>
              </c:ext>
            </c:extLst>
          </c:dPt>
          <c:dPt>
            <c:idx val="1"/>
            <c:invertIfNegative val="0"/>
            <c:bubble3D val="0"/>
            <c:spPr>
              <a:solidFill>
                <a:srgbClr val="00FF00"/>
              </a:solidFill>
            </c:spPr>
            <c:extLst>
              <c:ext xmlns:c16="http://schemas.microsoft.com/office/drawing/2014/chart" uri="{C3380CC4-5D6E-409C-BE32-E72D297353CC}">
                <c16:uniqueId val="{00000002-856F-4D83-9BC4-A8AC04B96163}"/>
              </c:ext>
            </c:extLst>
          </c:dPt>
          <c:dPt>
            <c:idx val="2"/>
            <c:invertIfNegative val="0"/>
            <c:bubble3D val="0"/>
            <c:spPr>
              <a:solidFill>
                <a:srgbClr val="00FF00"/>
              </a:solidFill>
            </c:spPr>
            <c:extLst>
              <c:ext xmlns:c16="http://schemas.microsoft.com/office/drawing/2014/chart" uri="{C3380CC4-5D6E-409C-BE32-E72D297353CC}">
                <c16:uniqueId val="{00000003-856F-4D83-9BC4-A8AC04B96163}"/>
              </c:ext>
            </c:extLst>
          </c:dPt>
          <c:cat>
            <c:strRef>
              <c:f>'Expenses&amp;Incomes Charts'!$K$2:$K$4</c:f>
              <c:strCache>
                <c:ptCount val="3"/>
                <c:pt idx="0">
                  <c:v>Total Expenses</c:v>
                </c:pt>
                <c:pt idx="1">
                  <c:v>Total Incomes</c:v>
                </c:pt>
                <c:pt idx="2">
                  <c:v>Net Income:</c:v>
                </c:pt>
              </c:strCache>
            </c:strRef>
          </c:cat>
          <c:val>
            <c:numRef>
              <c:f>'Expenses&amp;Incomes Charts'!$L$2:$L$4</c:f>
              <c:numCache>
                <c:formatCode>General</c:formatCode>
                <c:ptCount val="3"/>
                <c:pt idx="0">
                  <c:v>-87925</c:v>
                </c:pt>
                <c:pt idx="1">
                  <c:v>132000</c:v>
                </c:pt>
                <c:pt idx="2">
                  <c:v>44075</c:v>
                </c:pt>
              </c:numCache>
            </c:numRef>
          </c:val>
          <c:extLst>
            <c:ext xmlns:c16="http://schemas.microsoft.com/office/drawing/2014/chart" uri="{C3380CC4-5D6E-409C-BE32-E72D297353CC}">
              <c16:uniqueId val="{00000000-856F-4D83-9BC4-A8AC04B96163}"/>
            </c:ext>
          </c:extLst>
        </c:ser>
        <c:dLbls>
          <c:showLegendKey val="0"/>
          <c:showVal val="0"/>
          <c:showCatName val="0"/>
          <c:showSerName val="0"/>
          <c:showPercent val="0"/>
          <c:showBubbleSize val="0"/>
        </c:dLbls>
        <c:gapWidth val="150"/>
        <c:axId val="1157850192"/>
        <c:axId val="1157852272"/>
      </c:barChart>
      <c:catAx>
        <c:axId val="1157850192"/>
        <c:scaling>
          <c:orientation val="minMax"/>
        </c:scaling>
        <c:delete val="0"/>
        <c:axPos val="b"/>
        <c:numFmt formatCode="General" sourceLinked="1"/>
        <c:majorTickMark val="out"/>
        <c:minorTickMark val="none"/>
        <c:tickLblPos val="nextTo"/>
        <c:crossAx val="1157852272"/>
        <c:crosses val="autoZero"/>
        <c:auto val="1"/>
        <c:lblAlgn val="ctr"/>
        <c:lblOffset val="100"/>
        <c:noMultiLvlLbl val="0"/>
      </c:catAx>
      <c:valAx>
        <c:axId val="1157852272"/>
        <c:scaling>
          <c:orientation val="minMax"/>
        </c:scaling>
        <c:delete val="0"/>
        <c:axPos val="l"/>
        <c:majorGridlines/>
        <c:title>
          <c:tx>
            <c:rich>
              <a:bodyPr/>
              <a:lstStyle/>
              <a:p>
                <a:pPr>
                  <a:defRPr/>
                </a:pPr>
                <a:r>
                  <a:rPr lang="en-CA"/>
                  <a:t>($)</a:t>
                </a:r>
              </a:p>
            </c:rich>
          </c:tx>
          <c:overlay val="0"/>
        </c:title>
        <c:numFmt formatCode="General" sourceLinked="1"/>
        <c:majorTickMark val="out"/>
        <c:minorTickMark val="none"/>
        <c:tickLblPos val="nextTo"/>
        <c:crossAx val="1157850192"/>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CA"/>
              <a:t>Monthly Budget</a:t>
            </a:r>
          </a:p>
          <a:p>
            <a:pPr>
              <a:defRPr/>
            </a:pPr>
            <a:r>
              <a:rPr lang="en-CA"/>
              <a:t>(by category)</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pieChart>
        <c:varyColors val="1"/>
        <c:ser>
          <c:idx val="0"/>
          <c:order val="0"/>
          <c:dPt>
            <c:idx val="0"/>
            <c:bubble3D val="0"/>
            <c:spPr>
              <a:pattFill prst="ltUpDiag">
                <a:fgClr>
                  <a:schemeClr val="accent4">
                    <a:tint val="65000"/>
                  </a:schemeClr>
                </a:fgClr>
                <a:bgClr>
                  <a:schemeClr val="accent4">
                    <a:tint val="65000"/>
                    <a:lumMod val="20000"/>
                    <a:lumOff val="80000"/>
                  </a:schemeClr>
                </a:bgClr>
              </a:pattFill>
              <a:ln w="19050">
                <a:solidFill>
                  <a:schemeClr val="lt1"/>
                </a:solidFill>
              </a:ln>
              <a:effectLst>
                <a:innerShdw blurRad="114300">
                  <a:schemeClr val="accent4">
                    <a:tint val="65000"/>
                  </a:schemeClr>
                </a:innerShdw>
              </a:effectLst>
            </c:spPr>
            <c:extLst>
              <c:ext xmlns:c16="http://schemas.microsoft.com/office/drawing/2014/chart" uri="{C3380CC4-5D6E-409C-BE32-E72D297353CC}">
                <c16:uniqueId val="{00000006-D780-43BB-9369-2119622E6EDC}"/>
              </c:ext>
            </c:extLst>
          </c:dPt>
          <c:dPt>
            <c:idx val="1"/>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5-D780-43BB-9369-2119622E6EDC}"/>
              </c:ext>
            </c:extLst>
          </c:dPt>
          <c:dPt>
            <c:idx val="2"/>
            <c:bubble3D val="0"/>
            <c:spPr>
              <a:pattFill prst="ltUpDiag">
                <a:fgClr>
                  <a:schemeClr val="accent4">
                    <a:shade val="65000"/>
                  </a:schemeClr>
                </a:fgClr>
                <a:bgClr>
                  <a:schemeClr val="accent4">
                    <a:shade val="65000"/>
                    <a:lumMod val="20000"/>
                    <a:lumOff val="80000"/>
                  </a:schemeClr>
                </a:bgClr>
              </a:pattFill>
              <a:ln w="19050">
                <a:solidFill>
                  <a:schemeClr val="lt1"/>
                </a:solidFill>
              </a:ln>
              <a:effectLst>
                <a:innerShdw blurRad="114300">
                  <a:schemeClr val="accent4">
                    <a:shade val="65000"/>
                  </a:schemeClr>
                </a:innerShdw>
              </a:effectLst>
            </c:spPr>
            <c:extLst>
              <c:ext xmlns:c16="http://schemas.microsoft.com/office/drawing/2014/chart" uri="{C3380CC4-5D6E-409C-BE32-E72D297353CC}">
                <c16:uniqueId val="{00000004-D780-43BB-9369-2119622E6ED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'Budget&amp;Goals'!$A$2:$C$2</c:f>
              <c:strCache>
                <c:ptCount val="3"/>
                <c:pt idx="0">
                  <c:v>Food</c:v>
                </c:pt>
                <c:pt idx="1">
                  <c:v>Entertainment</c:v>
                </c:pt>
                <c:pt idx="2">
                  <c:v>Other</c:v>
                </c:pt>
              </c:strCache>
            </c:strRef>
          </c:cat>
          <c:val>
            <c:numRef>
              <c:f>'Budget&amp;Goals'!$A$3:$C$3</c:f>
              <c:numCache>
                <c:formatCode>"$"#,##0.00</c:formatCode>
                <c:ptCount val="3"/>
                <c:pt idx="0">
                  <c:v>1000</c:v>
                </c:pt>
                <c:pt idx="1">
                  <c:v>600</c:v>
                </c:pt>
                <c:pt idx="2">
                  <c:v>300</c:v>
                </c:pt>
              </c:numCache>
            </c:numRef>
          </c:val>
          <c:extLst>
            <c:ext xmlns:c16="http://schemas.microsoft.com/office/drawing/2014/chart" uri="{C3380CC4-5D6E-409C-BE32-E72D297353CC}">
              <c16:uniqueId val="{00000000-D780-43BB-9369-2119622E6EDC}"/>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196850</xdr:colOff>
          <xdr:row>1</xdr:row>
          <xdr:rowOff>203200</xdr:rowOff>
        </xdr:from>
        <xdr:to>
          <xdr:col>5</xdr:col>
          <xdr:colOff>927100</xdr:colOff>
          <xdr:row>5</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New Investment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203200</xdr:colOff>
          <xdr:row>5</xdr:row>
          <xdr:rowOff>95250</xdr:rowOff>
        </xdr:from>
        <xdr:to>
          <xdr:col>5</xdr:col>
          <xdr:colOff>920750</xdr:colOff>
          <xdr:row>7</xdr:row>
          <xdr:rowOff>57150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222250</xdr:colOff>
          <xdr:row>1</xdr:row>
          <xdr:rowOff>215900</xdr:rowOff>
        </xdr:from>
        <xdr:to>
          <xdr:col>11</xdr:col>
          <xdr:colOff>952500</xdr:colOff>
          <xdr:row>5</xdr:row>
          <xdr:rowOff>12700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New Savings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228600</xdr:colOff>
          <xdr:row>5</xdr:row>
          <xdr:rowOff>76200</xdr:rowOff>
        </xdr:from>
        <xdr:to>
          <xdr:col>11</xdr:col>
          <xdr:colOff>946150</xdr:colOff>
          <xdr:row>7</xdr:row>
          <xdr:rowOff>38100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228600</xdr:colOff>
          <xdr:row>0</xdr:row>
          <xdr:rowOff>88900</xdr:rowOff>
        </xdr:from>
        <xdr:to>
          <xdr:col>11</xdr:col>
          <xdr:colOff>946150</xdr:colOff>
          <xdr:row>0</xdr:row>
          <xdr:rowOff>419100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342900</xdr:colOff>
          <xdr:row>2</xdr:row>
          <xdr:rowOff>127000</xdr:rowOff>
        </xdr:from>
        <xdr:to>
          <xdr:col>9</xdr:col>
          <xdr:colOff>1079500</xdr:colOff>
          <xdr:row>6</xdr:row>
          <xdr:rowOff>127000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FF0000"/>
                  </a:solidFill>
                  <a:latin typeface="Calibri"/>
                  <a:cs typeface="Calibri"/>
                </a:rPr>
                <a:t>New Expense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349250</xdr:colOff>
          <xdr:row>7</xdr:row>
          <xdr:rowOff>44450</xdr:rowOff>
        </xdr:from>
        <xdr:to>
          <xdr:col>9</xdr:col>
          <xdr:colOff>1066800</xdr:colOff>
          <xdr:row>9</xdr:row>
          <xdr:rowOff>6350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323850</xdr:colOff>
          <xdr:row>2</xdr:row>
          <xdr:rowOff>114300</xdr:rowOff>
        </xdr:from>
        <xdr:to>
          <xdr:col>17</xdr:col>
          <xdr:colOff>1060450</xdr:colOff>
          <xdr:row>6</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8000"/>
                  </a:solidFill>
                  <a:latin typeface="Calibri"/>
                  <a:cs typeface="Calibri"/>
                </a:rPr>
                <a:t>New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330200</xdr:colOff>
          <xdr:row>7</xdr:row>
          <xdr:rowOff>25400</xdr:rowOff>
        </xdr:from>
        <xdr:to>
          <xdr:col>17</xdr:col>
          <xdr:colOff>1047750</xdr:colOff>
          <xdr:row>8</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25400</xdr:colOff>
          <xdr:row>4</xdr:row>
          <xdr:rowOff>31750</xdr:rowOff>
        </xdr:from>
        <xdr:to>
          <xdr:col>19</xdr:col>
          <xdr:colOff>869950</xdr:colOff>
          <xdr:row>6</xdr:row>
          <xdr:rowOff>127000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Show Graphically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7</xdr:row>
      <xdr:rowOff>107950</xdr:rowOff>
    </xdr:from>
    <xdr:to>
      <xdr:col>8</xdr:col>
      <xdr:colOff>273050</xdr:colOff>
      <xdr:row>28</xdr:row>
      <xdr:rowOff>50800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6350</xdr:colOff>
      <xdr:row>5</xdr:row>
      <xdr:rowOff>31750</xdr:rowOff>
    </xdr:from>
    <xdr:to>
      <xdr:col>18</xdr:col>
      <xdr:colOff>127000</xdr:colOff>
      <xdr:row>25</xdr:row>
      <xdr:rowOff>158750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222250</xdr:colOff>
          <xdr:row>1</xdr:row>
          <xdr:rowOff>114300</xdr:rowOff>
        </xdr:from>
        <xdr:to>
          <xdr:col>2</xdr:col>
          <xdr:colOff>425450</xdr:colOff>
          <xdr:row>2</xdr:row>
          <xdr:rowOff>146050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222250</xdr:colOff>
          <xdr:row>3</xdr:row>
          <xdr:rowOff>57150</xdr:rowOff>
        </xdr:from>
        <xdr:to>
          <xdr:col>2</xdr:col>
          <xdr:colOff>425450</xdr:colOff>
          <xdr:row>4</xdr:row>
          <xdr:rowOff>88900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3</xdr:row>
      <xdr:rowOff>25400</xdr:rowOff>
    </xdr:from>
    <xdr:to>
      <xdr:col>4</xdr:col>
      <xdr:colOff>0</xdr:colOff>
      <xdr:row>17</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323850</xdr:colOff>
          <xdr:row>0</xdr:row>
          <xdr:rowOff>400050</xdr:rowOff>
        </xdr:from>
        <xdr:to>
          <xdr:col>8</xdr:col>
          <xdr:colOff>984250</xdr:colOff>
          <xdr:row>3</xdr:row>
          <xdr:rowOff>158750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New Goal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4</xdr:row>
          <xdr:rowOff>101600</xdr:rowOff>
        </xdr:from>
        <xdr:to>
          <xdr:col>8</xdr:col>
          <xdr:colOff>984250</xdr:colOff>
          <xdr:row>6</xdr:row>
          <xdr:rowOff>12700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133350</xdr:colOff>
          <xdr:row>7</xdr:row>
          <xdr:rowOff>82550</xdr:rowOff>
        </xdr:from>
        <xdr:to>
          <xdr:col>9</xdr:col>
          <xdr:colOff>514350</xdr:colOff>
          <xdr:row>23</xdr:row>
          <xdr:rowOff>76200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cs typeface="Calibri"/>
                </a:rPr>
                <a:t>Give Me Financial Advice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ams" refreshedDate="44537.713648611112" createdVersion="3" refreshedVersion="7" minRefreshableVersion="3" recordCount="405" xr:uid="{0DED0D2E-0A08-45A8-9459-B83E59AE0A02}">
  <cacheSource type="worksheet">
    <worksheetSource ref="D2:I407" sheet="Output - Expenses&amp;Incomes"/>
  </cacheSource>
  <cacheFields count="6">
    <cacheField name="Date" numFmtId="167">
      <sharedItems containsSemiMixedTypes="0" containsNonDate="0" containsDate="1" containsString="0" minDate="2021-12-08T06:27:48" maxDate="2024-12-30T16:00:00"/>
    </cacheField>
    <cacheField name="Item" numFmtId="0">
      <sharedItems/>
    </cacheField>
    <cacheField name="Category" numFmtId="0">
      <sharedItems count="4">
        <s v="Food"/>
        <s v="Entertainment"/>
        <s v="Other"/>
        <s v="Academic"/>
      </sharedItems>
    </cacheField>
    <cacheField name="Description" numFmtId="0">
      <sharedItems/>
    </cacheField>
    <cacheField name="Priority" numFmtId="0">
      <sharedItems count="3">
        <s v="Low"/>
        <s v="Medium"/>
        <s v="High"/>
      </sharedItems>
    </cacheField>
    <cacheField name="Amount ($)" numFmtId="0">
      <sharedItems containsSemiMixedTypes="0" containsString="0" containsNumber="1" containsInteger="1" minValue="5" maxValue="8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5">
  <r>
    <d v="2021-12-08T06:27:48"/>
    <s v="Campus Pizza"/>
    <x v="0"/>
    <s v="Yum"/>
    <x v="0"/>
    <n v="5"/>
  </r>
  <r>
    <d v="2021-12-15T06:55:30"/>
    <s v="Campus Pizza"/>
    <x v="0"/>
    <s v="Yum"/>
    <x v="0"/>
    <n v="5"/>
  </r>
  <r>
    <d v="2021-12-22T07:23:12"/>
    <s v="Campus Pizza"/>
    <x v="0"/>
    <s v="Yum"/>
    <x v="0"/>
    <n v="5"/>
  </r>
  <r>
    <d v="2021-12-29T07:50:54"/>
    <s v="Campus Pizza"/>
    <x v="0"/>
    <s v="Yum"/>
    <x v="0"/>
    <n v="5"/>
  </r>
  <r>
    <d v="2022-01-05T08:18:36"/>
    <s v="Campus Pizza"/>
    <x v="0"/>
    <s v="Yum"/>
    <x v="0"/>
    <n v="5"/>
  </r>
  <r>
    <d v="2022-01-12T08:46:18"/>
    <s v="Campus Pizza"/>
    <x v="0"/>
    <s v="Yum"/>
    <x v="0"/>
    <n v="5"/>
  </r>
  <r>
    <d v="2022-01-19T09:14:00"/>
    <s v="Campus Pizza"/>
    <x v="0"/>
    <s v="Yum"/>
    <x v="0"/>
    <n v="5"/>
  </r>
  <r>
    <d v="2022-01-26T09:41:42"/>
    <s v="Campus Pizza"/>
    <x v="0"/>
    <s v="Yum"/>
    <x v="0"/>
    <n v="5"/>
  </r>
  <r>
    <d v="2022-02-02T10:09:24"/>
    <s v="Campus Pizza"/>
    <x v="0"/>
    <s v="Yum"/>
    <x v="0"/>
    <n v="5"/>
  </r>
  <r>
    <d v="2022-02-09T10:37:06"/>
    <s v="Campus Pizza"/>
    <x v="0"/>
    <s v="Yum"/>
    <x v="0"/>
    <n v="5"/>
  </r>
  <r>
    <d v="2022-02-16T11:04:48"/>
    <s v="Campus Pizza"/>
    <x v="0"/>
    <s v="Yum"/>
    <x v="0"/>
    <n v="5"/>
  </r>
  <r>
    <d v="2022-02-23T11:32:30"/>
    <s v="Campus Pizza"/>
    <x v="0"/>
    <s v="Yum"/>
    <x v="0"/>
    <n v="5"/>
  </r>
  <r>
    <d v="2022-03-02T12:00:12"/>
    <s v="Campus Pizza"/>
    <x v="0"/>
    <s v="Yum"/>
    <x v="0"/>
    <n v="5"/>
  </r>
  <r>
    <d v="2022-03-09T12:27:54"/>
    <s v="Campus Pizza"/>
    <x v="0"/>
    <s v="Yum"/>
    <x v="0"/>
    <n v="5"/>
  </r>
  <r>
    <d v="2022-03-16T12:55:36"/>
    <s v="Campus Pizza"/>
    <x v="0"/>
    <s v="Yum"/>
    <x v="0"/>
    <n v="5"/>
  </r>
  <r>
    <d v="2022-03-23T13:23:18"/>
    <s v="Campus Pizza"/>
    <x v="0"/>
    <s v="Yum"/>
    <x v="0"/>
    <n v="5"/>
  </r>
  <r>
    <d v="2022-03-30T13:51:00"/>
    <s v="Campus Pizza"/>
    <x v="0"/>
    <s v="Yum"/>
    <x v="0"/>
    <n v="5"/>
  </r>
  <r>
    <d v="2022-04-06T14:18:42"/>
    <s v="Campus Pizza"/>
    <x v="0"/>
    <s v="Yum"/>
    <x v="0"/>
    <n v="5"/>
  </r>
  <r>
    <d v="2022-04-13T14:46:24"/>
    <s v="Campus Pizza"/>
    <x v="0"/>
    <s v="Yum"/>
    <x v="0"/>
    <n v="5"/>
  </r>
  <r>
    <d v="2022-04-20T15:14:06"/>
    <s v="Campus Pizza"/>
    <x v="0"/>
    <s v="Yum"/>
    <x v="0"/>
    <n v="5"/>
  </r>
  <r>
    <d v="2022-04-27T15:41:48"/>
    <s v="Campus Pizza"/>
    <x v="0"/>
    <s v="Yum"/>
    <x v="0"/>
    <n v="5"/>
  </r>
  <r>
    <d v="2022-05-04T16:09:30"/>
    <s v="Campus Pizza"/>
    <x v="0"/>
    <s v="Yum"/>
    <x v="0"/>
    <n v="5"/>
  </r>
  <r>
    <d v="2022-05-11T16:37:12"/>
    <s v="Campus Pizza"/>
    <x v="0"/>
    <s v="Yum"/>
    <x v="0"/>
    <n v="5"/>
  </r>
  <r>
    <d v="2022-05-18T17:04:54"/>
    <s v="Campus Pizza"/>
    <x v="0"/>
    <s v="Yum"/>
    <x v="0"/>
    <n v="5"/>
  </r>
  <r>
    <d v="2022-05-25T17:32:36"/>
    <s v="Campus Pizza"/>
    <x v="0"/>
    <s v="Yum"/>
    <x v="0"/>
    <n v="5"/>
  </r>
  <r>
    <d v="2022-06-01T18:00:18"/>
    <s v="Campus Pizza"/>
    <x v="0"/>
    <s v="Yum"/>
    <x v="0"/>
    <n v="5"/>
  </r>
  <r>
    <d v="2022-06-08T18:28:00"/>
    <s v="Campus Pizza"/>
    <x v="0"/>
    <s v="Yum"/>
    <x v="0"/>
    <n v="5"/>
  </r>
  <r>
    <d v="2022-06-15T18:55:42"/>
    <s v="Campus Pizza"/>
    <x v="0"/>
    <s v="Yum"/>
    <x v="0"/>
    <n v="5"/>
  </r>
  <r>
    <d v="2022-06-22T19:23:24"/>
    <s v="Campus Pizza"/>
    <x v="0"/>
    <s v="Yum"/>
    <x v="0"/>
    <n v="5"/>
  </r>
  <r>
    <d v="2022-06-29T19:51:06"/>
    <s v="Campus Pizza"/>
    <x v="0"/>
    <s v="Yum"/>
    <x v="0"/>
    <n v="5"/>
  </r>
  <r>
    <d v="2022-07-06T20:18:48"/>
    <s v="Campus Pizza"/>
    <x v="0"/>
    <s v="Yum"/>
    <x v="0"/>
    <n v="5"/>
  </r>
  <r>
    <d v="2022-07-13T20:46:30"/>
    <s v="Campus Pizza"/>
    <x v="0"/>
    <s v="Yum"/>
    <x v="0"/>
    <n v="5"/>
  </r>
  <r>
    <d v="2022-07-20T21:14:12"/>
    <s v="Campus Pizza"/>
    <x v="0"/>
    <s v="Yum"/>
    <x v="0"/>
    <n v="5"/>
  </r>
  <r>
    <d v="2022-07-27T21:41:54"/>
    <s v="Campus Pizza"/>
    <x v="0"/>
    <s v="Yum"/>
    <x v="0"/>
    <n v="5"/>
  </r>
  <r>
    <d v="2022-08-03T22:09:36"/>
    <s v="Campus Pizza"/>
    <x v="0"/>
    <s v="Yum"/>
    <x v="0"/>
    <n v="5"/>
  </r>
  <r>
    <d v="2022-08-10T22:37:18"/>
    <s v="Campus Pizza"/>
    <x v="0"/>
    <s v="Yum"/>
    <x v="0"/>
    <n v="5"/>
  </r>
  <r>
    <d v="2022-08-17T23:05:00"/>
    <s v="Campus Pizza"/>
    <x v="0"/>
    <s v="Yum"/>
    <x v="0"/>
    <n v="5"/>
  </r>
  <r>
    <d v="2022-08-24T23:32:42"/>
    <s v="Campus Pizza"/>
    <x v="0"/>
    <s v="Yum"/>
    <x v="0"/>
    <n v="5"/>
  </r>
  <r>
    <d v="2022-09-01T00:00:24"/>
    <s v="Campus Pizza"/>
    <x v="0"/>
    <s v="Yum"/>
    <x v="0"/>
    <n v="5"/>
  </r>
  <r>
    <d v="2022-09-08T00:28:06"/>
    <s v="Campus Pizza"/>
    <x v="0"/>
    <s v="Yum"/>
    <x v="0"/>
    <n v="5"/>
  </r>
  <r>
    <d v="2022-09-15T00:55:48"/>
    <s v="Campus Pizza"/>
    <x v="0"/>
    <s v="Yum"/>
    <x v="0"/>
    <n v="5"/>
  </r>
  <r>
    <d v="2022-09-22T01:23:30"/>
    <s v="Campus Pizza"/>
    <x v="0"/>
    <s v="Yum"/>
    <x v="0"/>
    <n v="5"/>
  </r>
  <r>
    <d v="2022-09-29T01:51:12"/>
    <s v="Campus Pizza"/>
    <x v="0"/>
    <s v="Yum"/>
    <x v="0"/>
    <n v="5"/>
  </r>
  <r>
    <d v="2022-10-06T02:18:54"/>
    <s v="Campus Pizza"/>
    <x v="0"/>
    <s v="Yum"/>
    <x v="0"/>
    <n v="5"/>
  </r>
  <r>
    <d v="2022-10-13T02:46:36"/>
    <s v="Campus Pizza"/>
    <x v="0"/>
    <s v="Yum"/>
    <x v="0"/>
    <n v="5"/>
  </r>
  <r>
    <d v="2022-10-20T03:14:18"/>
    <s v="Campus Pizza"/>
    <x v="0"/>
    <s v="Yum"/>
    <x v="0"/>
    <n v="5"/>
  </r>
  <r>
    <d v="2022-10-27T03:42:00"/>
    <s v="Campus Pizza"/>
    <x v="0"/>
    <s v="Yum"/>
    <x v="0"/>
    <n v="5"/>
  </r>
  <r>
    <d v="2022-11-03T04:09:42"/>
    <s v="Campus Pizza"/>
    <x v="0"/>
    <s v="Yum"/>
    <x v="0"/>
    <n v="5"/>
  </r>
  <r>
    <d v="2022-11-10T04:37:24"/>
    <s v="Campus Pizza"/>
    <x v="0"/>
    <s v="Yum"/>
    <x v="0"/>
    <n v="5"/>
  </r>
  <r>
    <d v="2022-11-17T05:05:06"/>
    <s v="Campus Pizza"/>
    <x v="0"/>
    <s v="Yum"/>
    <x v="0"/>
    <n v="5"/>
  </r>
  <r>
    <d v="2022-11-24T05:32:48"/>
    <s v="Campus Pizza"/>
    <x v="0"/>
    <s v="Yum"/>
    <x v="0"/>
    <n v="5"/>
  </r>
  <r>
    <d v="2022-12-01T06:00:30"/>
    <s v="Campus Pizza"/>
    <x v="0"/>
    <s v="Yum"/>
    <x v="0"/>
    <n v="5"/>
  </r>
  <r>
    <d v="2022-12-08T06:28:12"/>
    <s v="Campus Pizza"/>
    <x v="0"/>
    <s v="Yum"/>
    <x v="0"/>
    <n v="5"/>
  </r>
  <r>
    <d v="2022-12-15T06:55:54"/>
    <s v="Campus Pizza"/>
    <x v="0"/>
    <s v="Yum"/>
    <x v="0"/>
    <n v="5"/>
  </r>
  <r>
    <d v="2022-12-22T07:23:36"/>
    <s v="Campus Pizza"/>
    <x v="0"/>
    <s v="Yum"/>
    <x v="0"/>
    <n v="5"/>
  </r>
  <r>
    <d v="2022-12-29T07:51:18"/>
    <s v="Campus Pizza"/>
    <x v="0"/>
    <s v="Yum"/>
    <x v="0"/>
    <n v="5"/>
  </r>
  <r>
    <d v="2023-01-05T08:19:00"/>
    <s v="Campus Pizza"/>
    <x v="0"/>
    <s v="Yum"/>
    <x v="0"/>
    <n v="5"/>
  </r>
  <r>
    <d v="2023-01-12T08:46:42"/>
    <s v="Campus Pizza"/>
    <x v="0"/>
    <s v="Yum"/>
    <x v="0"/>
    <n v="5"/>
  </r>
  <r>
    <d v="2023-01-19T09:14:24"/>
    <s v="Campus Pizza"/>
    <x v="0"/>
    <s v="Yum"/>
    <x v="0"/>
    <n v="5"/>
  </r>
  <r>
    <d v="2023-01-26T09:42:06"/>
    <s v="Campus Pizza"/>
    <x v="0"/>
    <s v="Yum"/>
    <x v="0"/>
    <n v="5"/>
  </r>
  <r>
    <d v="2023-02-02T10:09:48"/>
    <s v="Campus Pizza"/>
    <x v="0"/>
    <s v="Yum"/>
    <x v="0"/>
    <n v="5"/>
  </r>
  <r>
    <d v="2023-02-09T10:37:30"/>
    <s v="Campus Pizza"/>
    <x v="0"/>
    <s v="Yum"/>
    <x v="0"/>
    <n v="5"/>
  </r>
  <r>
    <d v="2023-02-16T11:05:12"/>
    <s v="Campus Pizza"/>
    <x v="0"/>
    <s v="Yum"/>
    <x v="0"/>
    <n v="5"/>
  </r>
  <r>
    <d v="2023-02-23T11:32:54"/>
    <s v="Campus Pizza"/>
    <x v="0"/>
    <s v="Yum"/>
    <x v="0"/>
    <n v="5"/>
  </r>
  <r>
    <d v="2023-03-02T12:00:36"/>
    <s v="Campus Pizza"/>
    <x v="0"/>
    <s v="Yum"/>
    <x v="0"/>
    <n v="5"/>
  </r>
  <r>
    <d v="2023-03-09T12:28:18"/>
    <s v="Campus Pizza"/>
    <x v="0"/>
    <s v="Yum"/>
    <x v="0"/>
    <n v="5"/>
  </r>
  <r>
    <d v="2023-03-16T12:56:00"/>
    <s v="Campus Pizza"/>
    <x v="0"/>
    <s v="Yum"/>
    <x v="0"/>
    <n v="5"/>
  </r>
  <r>
    <d v="2023-03-23T13:23:42"/>
    <s v="Campus Pizza"/>
    <x v="0"/>
    <s v="Yum"/>
    <x v="0"/>
    <n v="5"/>
  </r>
  <r>
    <d v="2023-03-30T13:51:24"/>
    <s v="Campus Pizza"/>
    <x v="0"/>
    <s v="Yum"/>
    <x v="0"/>
    <n v="5"/>
  </r>
  <r>
    <d v="2023-04-06T14:19:06"/>
    <s v="Campus Pizza"/>
    <x v="0"/>
    <s v="Yum"/>
    <x v="0"/>
    <n v="5"/>
  </r>
  <r>
    <d v="2023-04-13T14:46:48"/>
    <s v="Campus Pizza"/>
    <x v="0"/>
    <s v="Yum"/>
    <x v="0"/>
    <n v="5"/>
  </r>
  <r>
    <d v="2023-04-20T15:14:30"/>
    <s v="Campus Pizza"/>
    <x v="0"/>
    <s v="Yum"/>
    <x v="0"/>
    <n v="5"/>
  </r>
  <r>
    <d v="2023-04-27T15:42:12"/>
    <s v="Campus Pizza"/>
    <x v="0"/>
    <s v="Yum"/>
    <x v="0"/>
    <n v="5"/>
  </r>
  <r>
    <d v="2023-05-04T16:09:54"/>
    <s v="Campus Pizza"/>
    <x v="0"/>
    <s v="Yum"/>
    <x v="0"/>
    <n v="5"/>
  </r>
  <r>
    <d v="2023-05-11T16:37:36"/>
    <s v="Campus Pizza"/>
    <x v="0"/>
    <s v="Yum"/>
    <x v="0"/>
    <n v="5"/>
  </r>
  <r>
    <d v="2023-05-18T17:05:18"/>
    <s v="Campus Pizza"/>
    <x v="0"/>
    <s v="Yum"/>
    <x v="0"/>
    <n v="5"/>
  </r>
  <r>
    <d v="2023-05-25T17:33:00"/>
    <s v="Campus Pizza"/>
    <x v="0"/>
    <s v="Yum"/>
    <x v="0"/>
    <n v="5"/>
  </r>
  <r>
    <d v="2023-06-01T18:00:42"/>
    <s v="Campus Pizza"/>
    <x v="0"/>
    <s v="Yum"/>
    <x v="0"/>
    <n v="5"/>
  </r>
  <r>
    <d v="2023-06-08T18:28:24"/>
    <s v="Campus Pizza"/>
    <x v="0"/>
    <s v="Yum"/>
    <x v="0"/>
    <n v="5"/>
  </r>
  <r>
    <d v="2023-06-15T18:56:06"/>
    <s v="Campus Pizza"/>
    <x v="0"/>
    <s v="Yum"/>
    <x v="0"/>
    <n v="5"/>
  </r>
  <r>
    <d v="2023-06-22T19:23:48"/>
    <s v="Campus Pizza"/>
    <x v="0"/>
    <s v="Yum"/>
    <x v="0"/>
    <n v="5"/>
  </r>
  <r>
    <d v="2023-06-29T19:51:30"/>
    <s v="Campus Pizza"/>
    <x v="0"/>
    <s v="Yum"/>
    <x v="0"/>
    <n v="5"/>
  </r>
  <r>
    <d v="2023-07-06T20:19:12"/>
    <s v="Campus Pizza"/>
    <x v="0"/>
    <s v="Yum"/>
    <x v="0"/>
    <n v="5"/>
  </r>
  <r>
    <d v="2023-07-13T20:46:54"/>
    <s v="Campus Pizza"/>
    <x v="0"/>
    <s v="Yum"/>
    <x v="0"/>
    <n v="5"/>
  </r>
  <r>
    <d v="2023-07-20T21:14:36"/>
    <s v="Campus Pizza"/>
    <x v="0"/>
    <s v="Yum"/>
    <x v="0"/>
    <n v="5"/>
  </r>
  <r>
    <d v="2023-07-27T21:42:18"/>
    <s v="Campus Pizza"/>
    <x v="0"/>
    <s v="Yum"/>
    <x v="0"/>
    <n v="5"/>
  </r>
  <r>
    <d v="2023-08-03T22:10:00"/>
    <s v="Campus Pizza"/>
    <x v="0"/>
    <s v="Yum"/>
    <x v="0"/>
    <n v="5"/>
  </r>
  <r>
    <d v="2023-08-10T22:37:42"/>
    <s v="Campus Pizza"/>
    <x v="0"/>
    <s v="Yum"/>
    <x v="0"/>
    <n v="5"/>
  </r>
  <r>
    <d v="2023-08-17T23:05:24"/>
    <s v="Campus Pizza"/>
    <x v="0"/>
    <s v="Yum"/>
    <x v="0"/>
    <n v="5"/>
  </r>
  <r>
    <d v="2023-08-24T23:33:06"/>
    <s v="Campus Pizza"/>
    <x v="0"/>
    <s v="Yum"/>
    <x v="0"/>
    <n v="5"/>
  </r>
  <r>
    <d v="2023-09-01T00:00:48"/>
    <s v="Campus Pizza"/>
    <x v="0"/>
    <s v="Yum"/>
    <x v="0"/>
    <n v="5"/>
  </r>
  <r>
    <d v="2023-09-08T00:28:30"/>
    <s v="Campus Pizza"/>
    <x v="0"/>
    <s v="Yum"/>
    <x v="0"/>
    <n v="5"/>
  </r>
  <r>
    <d v="2023-09-15T00:56:12"/>
    <s v="Campus Pizza"/>
    <x v="0"/>
    <s v="Yum"/>
    <x v="0"/>
    <n v="5"/>
  </r>
  <r>
    <d v="2023-09-22T01:23:54"/>
    <s v="Campus Pizza"/>
    <x v="0"/>
    <s v="Yum"/>
    <x v="0"/>
    <n v="5"/>
  </r>
  <r>
    <d v="2023-09-29T01:51:36"/>
    <s v="Campus Pizza"/>
    <x v="0"/>
    <s v="Yum"/>
    <x v="0"/>
    <n v="5"/>
  </r>
  <r>
    <d v="2023-10-06T02:19:18"/>
    <s v="Campus Pizza"/>
    <x v="0"/>
    <s v="Yum"/>
    <x v="0"/>
    <n v="5"/>
  </r>
  <r>
    <d v="2023-10-13T02:47:00"/>
    <s v="Campus Pizza"/>
    <x v="0"/>
    <s v="Yum"/>
    <x v="0"/>
    <n v="5"/>
  </r>
  <r>
    <d v="2023-10-20T03:14:42"/>
    <s v="Campus Pizza"/>
    <x v="0"/>
    <s v="Yum"/>
    <x v="0"/>
    <n v="5"/>
  </r>
  <r>
    <d v="2023-10-27T03:42:24"/>
    <s v="Campus Pizza"/>
    <x v="0"/>
    <s v="Yum"/>
    <x v="0"/>
    <n v="5"/>
  </r>
  <r>
    <d v="2023-11-03T04:10:06"/>
    <s v="Campus Pizza"/>
    <x v="0"/>
    <s v="Yum"/>
    <x v="0"/>
    <n v="5"/>
  </r>
  <r>
    <d v="2023-11-10T04:37:48"/>
    <s v="Campus Pizza"/>
    <x v="0"/>
    <s v="Yum"/>
    <x v="0"/>
    <n v="5"/>
  </r>
  <r>
    <d v="2023-11-17T05:05:30"/>
    <s v="Campus Pizza"/>
    <x v="0"/>
    <s v="Yum"/>
    <x v="0"/>
    <n v="5"/>
  </r>
  <r>
    <d v="2023-11-24T05:33:12"/>
    <s v="Campus Pizza"/>
    <x v="0"/>
    <s v="Yum"/>
    <x v="0"/>
    <n v="5"/>
  </r>
  <r>
    <d v="2023-12-01T06:00:54"/>
    <s v="Campus Pizza"/>
    <x v="0"/>
    <s v="Yum"/>
    <x v="0"/>
    <n v="5"/>
  </r>
  <r>
    <d v="2023-12-08T06:28:36"/>
    <s v="Campus Pizza"/>
    <x v="0"/>
    <s v="Yum"/>
    <x v="0"/>
    <n v="5"/>
  </r>
  <r>
    <d v="2023-12-15T06:56:18"/>
    <s v="Campus Pizza"/>
    <x v="0"/>
    <s v="Yum"/>
    <x v="0"/>
    <n v="5"/>
  </r>
  <r>
    <d v="2023-12-22T07:24:00"/>
    <s v="Campus Pizza"/>
    <x v="0"/>
    <s v="Yum"/>
    <x v="0"/>
    <n v="5"/>
  </r>
  <r>
    <d v="2023-12-29T07:51:42"/>
    <s v="Campus Pizza"/>
    <x v="0"/>
    <s v="Yum"/>
    <x v="0"/>
    <n v="5"/>
  </r>
  <r>
    <d v="2024-01-05T08:19:24"/>
    <s v="Campus Pizza"/>
    <x v="0"/>
    <s v="Yum"/>
    <x v="0"/>
    <n v="5"/>
  </r>
  <r>
    <d v="2024-01-12T08:47:06"/>
    <s v="Campus Pizza"/>
    <x v="0"/>
    <s v="Yum"/>
    <x v="0"/>
    <n v="5"/>
  </r>
  <r>
    <d v="2024-01-19T09:14:48"/>
    <s v="Campus Pizza"/>
    <x v="0"/>
    <s v="Yum"/>
    <x v="0"/>
    <n v="5"/>
  </r>
  <r>
    <d v="2024-01-26T09:42:30"/>
    <s v="Campus Pizza"/>
    <x v="0"/>
    <s v="Yum"/>
    <x v="0"/>
    <n v="5"/>
  </r>
  <r>
    <d v="2024-02-02T10:10:12"/>
    <s v="Campus Pizza"/>
    <x v="0"/>
    <s v="Yum"/>
    <x v="0"/>
    <n v="5"/>
  </r>
  <r>
    <d v="2024-02-09T10:37:54"/>
    <s v="Campus Pizza"/>
    <x v="0"/>
    <s v="Yum"/>
    <x v="0"/>
    <n v="5"/>
  </r>
  <r>
    <d v="2024-02-16T11:05:36"/>
    <s v="Campus Pizza"/>
    <x v="0"/>
    <s v="Yum"/>
    <x v="0"/>
    <n v="5"/>
  </r>
  <r>
    <d v="2024-02-23T11:33:18"/>
    <s v="Campus Pizza"/>
    <x v="0"/>
    <s v="Yum"/>
    <x v="0"/>
    <n v="5"/>
  </r>
  <r>
    <d v="2024-03-01T12:01:00"/>
    <s v="Campus Pizza"/>
    <x v="0"/>
    <s v="Yum"/>
    <x v="0"/>
    <n v="5"/>
  </r>
  <r>
    <d v="2024-03-08T12:28:42"/>
    <s v="Campus Pizza"/>
    <x v="0"/>
    <s v="Yum"/>
    <x v="0"/>
    <n v="5"/>
  </r>
  <r>
    <d v="2024-03-15T12:56:24"/>
    <s v="Campus Pizza"/>
    <x v="0"/>
    <s v="Yum"/>
    <x v="0"/>
    <n v="5"/>
  </r>
  <r>
    <d v="2024-03-22T13:24:06"/>
    <s v="Campus Pizza"/>
    <x v="0"/>
    <s v="Yum"/>
    <x v="0"/>
    <n v="5"/>
  </r>
  <r>
    <d v="2024-03-29T13:51:48"/>
    <s v="Campus Pizza"/>
    <x v="0"/>
    <s v="Yum"/>
    <x v="0"/>
    <n v="5"/>
  </r>
  <r>
    <d v="2024-04-05T14:19:30"/>
    <s v="Campus Pizza"/>
    <x v="0"/>
    <s v="Yum"/>
    <x v="0"/>
    <n v="5"/>
  </r>
  <r>
    <d v="2024-04-12T14:47:12"/>
    <s v="Campus Pizza"/>
    <x v="0"/>
    <s v="Yum"/>
    <x v="0"/>
    <n v="5"/>
  </r>
  <r>
    <d v="2024-04-19T15:14:54"/>
    <s v="Campus Pizza"/>
    <x v="0"/>
    <s v="Yum"/>
    <x v="0"/>
    <n v="5"/>
  </r>
  <r>
    <d v="2024-04-26T15:42:36"/>
    <s v="Campus Pizza"/>
    <x v="0"/>
    <s v="Yum"/>
    <x v="0"/>
    <n v="5"/>
  </r>
  <r>
    <d v="2024-05-03T16:10:18"/>
    <s v="Campus Pizza"/>
    <x v="0"/>
    <s v="Yum"/>
    <x v="0"/>
    <n v="5"/>
  </r>
  <r>
    <d v="2024-05-10T16:38:00"/>
    <s v="Campus Pizza"/>
    <x v="0"/>
    <s v="Yum"/>
    <x v="0"/>
    <n v="5"/>
  </r>
  <r>
    <d v="2024-05-17T17:05:42"/>
    <s v="Campus Pizza"/>
    <x v="0"/>
    <s v="Yum"/>
    <x v="0"/>
    <n v="5"/>
  </r>
  <r>
    <d v="2024-05-24T17:33:24"/>
    <s v="Campus Pizza"/>
    <x v="0"/>
    <s v="Yum"/>
    <x v="0"/>
    <n v="5"/>
  </r>
  <r>
    <d v="2024-05-31T18:01:06"/>
    <s v="Campus Pizza"/>
    <x v="0"/>
    <s v="Yum"/>
    <x v="0"/>
    <n v="5"/>
  </r>
  <r>
    <d v="2024-06-07T18:28:48"/>
    <s v="Campus Pizza"/>
    <x v="0"/>
    <s v="Yum"/>
    <x v="0"/>
    <n v="5"/>
  </r>
  <r>
    <d v="2024-06-14T18:56:30"/>
    <s v="Campus Pizza"/>
    <x v="0"/>
    <s v="Yum"/>
    <x v="0"/>
    <n v="5"/>
  </r>
  <r>
    <d v="2024-06-21T19:24:12"/>
    <s v="Campus Pizza"/>
    <x v="0"/>
    <s v="Yum"/>
    <x v="0"/>
    <n v="5"/>
  </r>
  <r>
    <d v="2024-06-28T19:51:54"/>
    <s v="Campus Pizza"/>
    <x v="0"/>
    <s v="Yum"/>
    <x v="0"/>
    <n v="5"/>
  </r>
  <r>
    <d v="2024-07-05T20:19:36"/>
    <s v="Campus Pizza"/>
    <x v="0"/>
    <s v="Yum"/>
    <x v="0"/>
    <n v="5"/>
  </r>
  <r>
    <d v="2024-07-12T20:47:18"/>
    <s v="Campus Pizza"/>
    <x v="0"/>
    <s v="Yum"/>
    <x v="0"/>
    <n v="5"/>
  </r>
  <r>
    <d v="2024-07-19T21:15:00"/>
    <s v="Campus Pizza"/>
    <x v="0"/>
    <s v="Yum"/>
    <x v="0"/>
    <n v="5"/>
  </r>
  <r>
    <d v="2024-07-26T21:42:42"/>
    <s v="Campus Pizza"/>
    <x v="0"/>
    <s v="Yum"/>
    <x v="0"/>
    <n v="5"/>
  </r>
  <r>
    <d v="2024-08-02T22:10:24"/>
    <s v="Campus Pizza"/>
    <x v="0"/>
    <s v="Yum"/>
    <x v="0"/>
    <n v="5"/>
  </r>
  <r>
    <d v="2024-08-09T22:38:06"/>
    <s v="Campus Pizza"/>
    <x v="0"/>
    <s v="Yum"/>
    <x v="0"/>
    <n v="5"/>
  </r>
  <r>
    <d v="2024-08-16T23:05:48"/>
    <s v="Campus Pizza"/>
    <x v="0"/>
    <s v="Yum"/>
    <x v="0"/>
    <n v="5"/>
  </r>
  <r>
    <d v="2024-08-23T23:33:30"/>
    <s v="Campus Pizza"/>
    <x v="0"/>
    <s v="Yum"/>
    <x v="0"/>
    <n v="5"/>
  </r>
  <r>
    <d v="2024-08-31T00:01:12"/>
    <s v="Campus Pizza"/>
    <x v="0"/>
    <s v="Yum"/>
    <x v="0"/>
    <n v="5"/>
  </r>
  <r>
    <d v="2024-09-07T00:28:54"/>
    <s v="Campus Pizza"/>
    <x v="0"/>
    <s v="Yum"/>
    <x v="0"/>
    <n v="5"/>
  </r>
  <r>
    <d v="2024-09-14T00:56:36"/>
    <s v="Campus Pizza"/>
    <x v="0"/>
    <s v="Yum"/>
    <x v="0"/>
    <n v="5"/>
  </r>
  <r>
    <d v="2024-09-21T01:24:18"/>
    <s v="Campus Pizza"/>
    <x v="0"/>
    <s v="Yum"/>
    <x v="0"/>
    <n v="5"/>
  </r>
  <r>
    <d v="2024-09-28T01:52:00"/>
    <s v="Campus Pizza"/>
    <x v="0"/>
    <s v="Yum"/>
    <x v="0"/>
    <n v="5"/>
  </r>
  <r>
    <d v="2024-10-05T02:19:42"/>
    <s v="Campus Pizza"/>
    <x v="0"/>
    <s v="Yum"/>
    <x v="0"/>
    <n v="5"/>
  </r>
  <r>
    <d v="2024-10-12T02:47:24"/>
    <s v="Campus Pizza"/>
    <x v="0"/>
    <s v="Yum"/>
    <x v="0"/>
    <n v="5"/>
  </r>
  <r>
    <d v="2024-10-19T03:15:06"/>
    <s v="Campus Pizza"/>
    <x v="0"/>
    <s v="Yum"/>
    <x v="0"/>
    <n v="5"/>
  </r>
  <r>
    <d v="2024-10-26T03:42:48"/>
    <s v="Campus Pizza"/>
    <x v="0"/>
    <s v="Yum"/>
    <x v="0"/>
    <n v="5"/>
  </r>
  <r>
    <d v="2024-11-02T04:10:30"/>
    <s v="Campus Pizza"/>
    <x v="0"/>
    <s v="Yum"/>
    <x v="0"/>
    <n v="5"/>
  </r>
  <r>
    <d v="2024-11-09T04:38:12"/>
    <s v="Campus Pizza"/>
    <x v="0"/>
    <s v="Yum"/>
    <x v="0"/>
    <n v="5"/>
  </r>
  <r>
    <d v="2024-11-16T05:05:54"/>
    <s v="Campus Pizza"/>
    <x v="0"/>
    <s v="Yum"/>
    <x v="0"/>
    <n v="5"/>
  </r>
  <r>
    <d v="2024-11-23T05:33:36"/>
    <s v="Campus Pizza"/>
    <x v="0"/>
    <s v="Yum"/>
    <x v="0"/>
    <n v="5"/>
  </r>
  <r>
    <d v="2024-11-30T06:01:18"/>
    <s v="Campus Pizza"/>
    <x v="0"/>
    <s v="Yum"/>
    <x v="0"/>
    <n v="5"/>
  </r>
  <r>
    <d v="2024-12-07T06:29:00"/>
    <s v="Campus Pizza"/>
    <x v="0"/>
    <s v="Yum"/>
    <x v="0"/>
    <n v="5"/>
  </r>
  <r>
    <d v="2024-12-14T06:56:42"/>
    <s v="Campus Pizza"/>
    <x v="0"/>
    <s v="Yum"/>
    <x v="0"/>
    <n v="5"/>
  </r>
  <r>
    <d v="2024-12-21T07:24:24"/>
    <s v="Campus Pizza"/>
    <x v="0"/>
    <s v="Yum"/>
    <x v="0"/>
    <n v="5"/>
  </r>
  <r>
    <d v="2024-12-28T07:52:06"/>
    <s v="Campus Pizza"/>
    <x v="0"/>
    <s v="Yum"/>
    <x v="0"/>
    <n v="5"/>
  </r>
  <r>
    <d v="2022-03-02T12:00:00"/>
    <s v="Volleyball"/>
    <x v="1"/>
    <s v="Exercise"/>
    <x v="1"/>
    <n v="200"/>
  </r>
  <r>
    <d v="2022-09-01T00:00:00"/>
    <s v="Volleyball"/>
    <x v="1"/>
    <s v="Exercise"/>
    <x v="1"/>
    <n v="200"/>
  </r>
  <r>
    <d v="2023-03-02T12:00:00"/>
    <s v="Volleyball"/>
    <x v="1"/>
    <s v="Exercise"/>
    <x v="1"/>
    <n v="200"/>
  </r>
  <r>
    <d v="2023-09-01T00:00:00"/>
    <s v="Volleyball"/>
    <x v="1"/>
    <s v="Exercise"/>
    <x v="1"/>
    <n v="200"/>
  </r>
  <r>
    <d v="2024-03-01T12:00:00"/>
    <s v="Volleyball"/>
    <x v="1"/>
    <s v="Exercise"/>
    <x v="1"/>
    <n v="200"/>
  </r>
  <r>
    <d v="2024-08-31T00:00:00"/>
    <s v="Volleyball"/>
    <x v="1"/>
    <s v="Exercise"/>
    <x v="1"/>
    <n v="200"/>
  </r>
  <r>
    <d v="2021-12-31T16:00:00"/>
    <s v="Gym Membership"/>
    <x v="2"/>
    <s v="Exercise 2"/>
    <x v="1"/>
    <n v="25"/>
  </r>
  <r>
    <d v="2022-01-31T02:00:00"/>
    <s v="Gym Membership"/>
    <x v="2"/>
    <s v="Exercise 2"/>
    <x v="1"/>
    <n v="25"/>
  </r>
  <r>
    <d v="2022-03-02T12:00:00"/>
    <s v="Gym Membership"/>
    <x v="2"/>
    <s v="Exercise 2"/>
    <x v="1"/>
    <n v="25"/>
  </r>
  <r>
    <d v="2022-04-01T22:00:00"/>
    <s v="Gym Membership"/>
    <x v="2"/>
    <s v="Exercise 2"/>
    <x v="1"/>
    <n v="25"/>
  </r>
  <r>
    <d v="2022-05-02T08:00:00"/>
    <s v="Gym Membership"/>
    <x v="2"/>
    <s v="Exercise 2"/>
    <x v="1"/>
    <n v="25"/>
  </r>
  <r>
    <d v="2022-06-01T18:00:00"/>
    <s v="Gym Membership"/>
    <x v="2"/>
    <s v="Exercise 2"/>
    <x v="1"/>
    <n v="25"/>
  </r>
  <r>
    <d v="2022-07-02T04:00:00"/>
    <s v="Gym Membership"/>
    <x v="2"/>
    <s v="Exercise 2"/>
    <x v="1"/>
    <n v="25"/>
  </r>
  <r>
    <d v="2022-08-01T14:00:00"/>
    <s v="Gym Membership"/>
    <x v="2"/>
    <s v="Exercise 2"/>
    <x v="1"/>
    <n v="25"/>
  </r>
  <r>
    <d v="2022-09-01T00:00:00"/>
    <s v="Gym Membership"/>
    <x v="2"/>
    <s v="Exercise 2"/>
    <x v="1"/>
    <n v="25"/>
  </r>
  <r>
    <d v="2022-10-01T10:00:00"/>
    <s v="Gym Membership"/>
    <x v="2"/>
    <s v="Exercise 2"/>
    <x v="1"/>
    <n v="25"/>
  </r>
  <r>
    <d v="2022-10-31T20:00:00"/>
    <s v="Gym Membership"/>
    <x v="2"/>
    <s v="Exercise 2"/>
    <x v="1"/>
    <n v="25"/>
  </r>
  <r>
    <d v="2022-12-01T06:00:00"/>
    <s v="Gym Membership"/>
    <x v="2"/>
    <s v="Exercise 2"/>
    <x v="1"/>
    <n v="25"/>
  </r>
  <r>
    <d v="2022-12-31T16:00:00"/>
    <s v="Gym Membership"/>
    <x v="2"/>
    <s v="Exercise 2"/>
    <x v="1"/>
    <n v="25"/>
  </r>
  <r>
    <d v="2023-01-31T02:00:00"/>
    <s v="Gym Membership"/>
    <x v="2"/>
    <s v="Exercise 2"/>
    <x v="1"/>
    <n v="25"/>
  </r>
  <r>
    <d v="2023-03-02T12:00:00"/>
    <s v="Gym Membership"/>
    <x v="2"/>
    <s v="Exercise 2"/>
    <x v="1"/>
    <n v="25"/>
  </r>
  <r>
    <d v="2023-04-01T22:00:00"/>
    <s v="Gym Membership"/>
    <x v="2"/>
    <s v="Exercise 2"/>
    <x v="1"/>
    <n v="25"/>
  </r>
  <r>
    <d v="2023-05-02T08:00:00"/>
    <s v="Gym Membership"/>
    <x v="2"/>
    <s v="Exercise 2"/>
    <x v="1"/>
    <n v="25"/>
  </r>
  <r>
    <d v="2023-06-01T18:00:00"/>
    <s v="Gym Membership"/>
    <x v="2"/>
    <s v="Exercise 2"/>
    <x v="1"/>
    <n v="25"/>
  </r>
  <r>
    <d v="2023-07-02T04:00:00"/>
    <s v="Gym Membership"/>
    <x v="2"/>
    <s v="Exercise 2"/>
    <x v="1"/>
    <n v="25"/>
  </r>
  <r>
    <d v="2023-08-01T14:00:00"/>
    <s v="Gym Membership"/>
    <x v="2"/>
    <s v="Exercise 2"/>
    <x v="1"/>
    <n v="25"/>
  </r>
  <r>
    <d v="2023-09-01T00:00:00"/>
    <s v="Gym Membership"/>
    <x v="2"/>
    <s v="Exercise 2"/>
    <x v="1"/>
    <n v="25"/>
  </r>
  <r>
    <d v="2023-10-01T10:00:00"/>
    <s v="Gym Membership"/>
    <x v="2"/>
    <s v="Exercise 2"/>
    <x v="1"/>
    <n v="25"/>
  </r>
  <r>
    <d v="2023-10-31T20:00:00"/>
    <s v="Gym Membership"/>
    <x v="2"/>
    <s v="Exercise 2"/>
    <x v="1"/>
    <n v="25"/>
  </r>
  <r>
    <d v="2023-12-01T06:00:00"/>
    <s v="Gym Membership"/>
    <x v="2"/>
    <s v="Exercise 2"/>
    <x v="1"/>
    <n v="25"/>
  </r>
  <r>
    <d v="2023-12-31T16:00:00"/>
    <s v="Gym Membership"/>
    <x v="2"/>
    <s v="Exercise 2"/>
    <x v="1"/>
    <n v="25"/>
  </r>
  <r>
    <d v="2024-01-31T02:00:00"/>
    <s v="Gym Membership"/>
    <x v="2"/>
    <s v="Exercise 2"/>
    <x v="1"/>
    <n v="25"/>
  </r>
  <r>
    <d v="2024-03-01T12:00:00"/>
    <s v="Gym Membership"/>
    <x v="2"/>
    <s v="Exercise 2"/>
    <x v="1"/>
    <n v="25"/>
  </r>
  <r>
    <d v="2024-03-31T22:00:00"/>
    <s v="Gym Membership"/>
    <x v="2"/>
    <s v="Exercise 2"/>
    <x v="1"/>
    <n v="25"/>
  </r>
  <r>
    <d v="2024-05-01T08:00:00"/>
    <s v="Gym Membership"/>
    <x v="2"/>
    <s v="Exercise 2"/>
    <x v="1"/>
    <n v="25"/>
  </r>
  <r>
    <d v="2024-05-31T18:00:00"/>
    <s v="Gym Membership"/>
    <x v="2"/>
    <s v="Exercise 2"/>
    <x v="1"/>
    <n v="25"/>
  </r>
  <r>
    <d v="2024-07-01T04:00:00"/>
    <s v="Gym Membership"/>
    <x v="2"/>
    <s v="Exercise 2"/>
    <x v="1"/>
    <n v="25"/>
  </r>
  <r>
    <d v="2024-07-31T14:00:00"/>
    <s v="Gym Membership"/>
    <x v="2"/>
    <s v="Exercise 2"/>
    <x v="1"/>
    <n v="25"/>
  </r>
  <r>
    <d v="2024-08-31T00:00:00"/>
    <s v="Gym Membership"/>
    <x v="2"/>
    <s v="Exercise 2"/>
    <x v="1"/>
    <n v="25"/>
  </r>
  <r>
    <d v="2024-09-30T10:00:00"/>
    <s v="Gym Membership"/>
    <x v="2"/>
    <s v="Exercise 2"/>
    <x v="1"/>
    <n v="25"/>
  </r>
  <r>
    <d v="2024-10-30T20:00:00"/>
    <s v="Gym Membership"/>
    <x v="2"/>
    <s v="Exercise 2"/>
    <x v="1"/>
    <n v="25"/>
  </r>
  <r>
    <d v="2024-11-30T06:00:00"/>
    <s v="Gym Membership"/>
    <x v="2"/>
    <s v="Exercise 2"/>
    <x v="1"/>
    <n v="25"/>
  </r>
  <r>
    <d v="2024-12-30T16:00:00"/>
    <s v="Gym Membership"/>
    <x v="2"/>
    <s v="Exercise 2"/>
    <x v="1"/>
    <n v="25"/>
  </r>
  <r>
    <d v="2021-12-08T06:27:48"/>
    <s v="Partying"/>
    <x v="1"/>
    <s v="fun"/>
    <x v="0"/>
    <n v="50"/>
  </r>
  <r>
    <d v="2021-12-15T06:55:30"/>
    <s v="Partying"/>
    <x v="1"/>
    <s v="fun"/>
    <x v="0"/>
    <n v="50"/>
  </r>
  <r>
    <d v="2021-12-22T07:23:12"/>
    <s v="Partying"/>
    <x v="1"/>
    <s v="fun"/>
    <x v="0"/>
    <n v="50"/>
  </r>
  <r>
    <d v="2021-12-29T07:50:54"/>
    <s v="Partying"/>
    <x v="1"/>
    <s v="fun"/>
    <x v="0"/>
    <n v="50"/>
  </r>
  <r>
    <d v="2022-01-05T08:18:36"/>
    <s v="Partying"/>
    <x v="1"/>
    <s v="fun"/>
    <x v="0"/>
    <n v="50"/>
  </r>
  <r>
    <d v="2022-01-12T08:46:18"/>
    <s v="Partying"/>
    <x v="1"/>
    <s v="fun"/>
    <x v="0"/>
    <n v="50"/>
  </r>
  <r>
    <d v="2022-01-19T09:14:00"/>
    <s v="Partying"/>
    <x v="1"/>
    <s v="fun"/>
    <x v="0"/>
    <n v="50"/>
  </r>
  <r>
    <d v="2022-01-26T09:41:42"/>
    <s v="Partying"/>
    <x v="1"/>
    <s v="fun"/>
    <x v="0"/>
    <n v="50"/>
  </r>
  <r>
    <d v="2022-02-02T10:09:24"/>
    <s v="Partying"/>
    <x v="1"/>
    <s v="fun"/>
    <x v="0"/>
    <n v="50"/>
  </r>
  <r>
    <d v="2022-02-09T10:37:06"/>
    <s v="Partying"/>
    <x v="1"/>
    <s v="fun"/>
    <x v="0"/>
    <n v="50"/>
  </r>
  <r>
    <d v="2022-02-16T11:04:48"/>
    <s v="Partying"/>
    <x v="1"/>
    <s v="fun"/>
    <x v="0"/>
    <n v="50"/>
  </r>
  <r>
    <d v="2022-02-23T11:32:30"/>
    <s v="Partying"/>
    <x v="1"/>
    <s v="fun"/>
    <x v="0"/>
    <n v="50"/>
  </r>
  <r>
    <d v="2022-03-02T12:00:12"/>
    <s v="Partying"/>
    <x v="1"/>
    <s v="fun"/>
    <x v="0"/>
    <n v="50"/>
  </r>
  <r>
    <d v="2022-03-09T12:27:54"/>
    <s v="Partying"/>
    <x v="1"/>
    <s v="fun"/>
    <x v="0"/>
    <n v="50"/>
  </r>
  <r>
    <d v="2022-03-16T12:55:36"/>
    <s v="Partying"/>
    <x v="1"/>
    <s v="fun"/>
    <x v="0"/>
    <n v="50"/>
  </r>
  <r>
    <d v="2022-03-23T13:23:18"/>
    <s v="Partying"/>
    <x v="1"/>
    <s v="fun"/>
    <x v="0"/>
    <n v="50"/>
  </r>
  <r>
    <d v="2022-03-30T13:51:00"/>
    <s v="Partying"/>
    <x v="1"/>
    <s v="fun"/>
    <x v="0"/>
    <n v="50"/>
  </r>
  <r>
    <d v="2022-04-06T14:18:42"/>
    <s v="Partying"/>
    <x v="1"/>
    <s v="fun"/>
    <x v="0"/>
    <n v="50"/>
  </r>
  <r>
    <d v="2022-04-13T14:46:24"/>
    <s v="Partying"/>
    <x v="1"/>
    <s v="fun"/>
    <x v="0"/>
    <n v="50"/>
  </r>
  <r>
    <d v="2022-04-20T15:14:06"/>
    <s v="Partying"/>
    <x v="1"/>
    <s v="fun"/>
    <x v="0"/>
    <n v="50"/>
  </r>
  <r>
    <d v="2022-04-27T15:41:48"/>
    <s v="Partying"/>
    <x v="1"/>
    <s v="fun"/>
    <x v="0"/>
    <n v="50"/>
  </r>
  <r>
    <d v="2022-05-04T16:09:30"/>
    <s v="Partying"/>
    <x v="1"/>
    <s v="fun"/>
    <x v="0"/>
    <n v="50"/>
  </r>
  <r>
    <d v="2022-05-11T16:37:12"/>
    <s v="Partying"/>
    <x v="1"/>
    <s v="fun"/>
    <x v="0"/>
    <n v="50"/>
  </r>
  <r>
    <d v="2022-05-18T17:04:54"/>
    <s v="Partying"/>
    <x v="1"/>
    <s v="fun"/>
    <x v="0"/>
    <n v="50"/>
  </r>
  <r>
    <d v="2022-05-25T17:32:36"/>
    <s v="Partying"/>
    <x v="1"/>
    <s v="fun"/>
    <x v="0"/>
    <n v="50"/>
  </r>
  <r>
    <d v="2022-06-01T18:00:18"/>
    <s v="Partying"/>
    <x v="1"/>
    <s v="fun"/>
    <x v="0"/>
    <n v="50"/>
  </r>
  <r>
    <d v="2022-06-08T18:28:00"/>
    <s v="Partying"/>
    <x v="1"/>
    <s v="fun"/>
    <x v="0"/>
    <n v="50"/>
  </r>
  <r>
    <d v="2022-06-15T18:55:42"/>
    <s v="Partying"/>
    <x v="1"/>
    <s v="fun"/>
    <x v="0"/>
    <n v="50"/>
  </r>
  <r>
    <d v="2022-06-22T19:23:24"/>
    <s v="Partying"/>
    <x v="1"/>
    <s v="fun"/>
    <x v="0"/>
    <n v="50"/>
  </r>
  <r>
    <d v="2022-06-29T19:51:06"/>
    <s v="Partying"/>
    <x v="1"/>
    <s v="fun"/>
    <x v="0"/>
    <n v="50"/>
  </r>
  <r>
    <d v="2022-07-06T20:18:48"/>
    <s v="Partying"/>
    <x v="1"/>
    <s v="fun"/>
    <x v="0"/>
    <n v="50"/>
  </r>
  <r>
    <d v="2022-07-13T20:46:30"/>
    <s v="Partying"/>
    <x v="1"/>
    <s v="fun"/>
    <x v="0"/>
    <n v="50"/>
  </r>
  <r>
    <d v="2022-07-20T21:14:12"/>
    <s v="Partying"/>
    <x v="1"/>
    <s v="fun"/>
    <x v="0"/>
    <n v="50"/>
  </r>
  <r>
    <d v="2022-07-27T21:41:54"/>
    <s v="Partying"/>
    <x v="1"/>
    <s v="fun"/>
    <x v="0"/>
    <n v="50"/>
  </r>
  <r>
    <d v="2022-08-03T22:09:36"/>
    <s v="Partying"/>
    <x v="1"/>
    <s v="fun"/>
    <x v="0"/>
    <n v="50"/>
  </r>
  <r>
    <d v="2022-08-10T22:37:18"/>
    <s v="Partying"/>
    <x v="1"/>
    <s v="fun"/>
    <x v="0"/>
    <n v="50"/>
  </r>
  <r>
    <d v="2022-08-17T23:05:00"/>
    <s v="Partying"/>
    <x v="1"/>
    <s v="fun"/>
    <x v="0"/>
    <n v="50"/>
  </r>
  <r>
    <d v="2022-08-24T23:32:42"/>
    <s v="Partying"/>
    <x v="1"/>
    <s v="fun"/>
    <x v="0"/>
    <n v="50"/>
  </r>
  <r>
    <d v="2022-09-01T00:00:24"/>
    <s v="Partying"/>
    <x v="1"/>
    <s v="fun"/>
    <x v="0"/>
    <n v="50"/>
  </r>
  <r>
    <d v="2022-09-08T00:28:06"/>
    <s v="Partying"/>
    <x v="1"/>
    <s v="fun"/>
    <x v="0"/>
    <n v="50"/>
  </r>
  <r>
    <d v="2022-09-15T00:55:48"/>
    <s v="Partying"/>
    <x v="1"/>
    <s v="fun"/>
    <x v="0"/>
    <n v="50"/>
  </r>
  <r>
    <d v="2022-09-22T01:23:30"/>
    <s v="Partying"/>
    <x v="1"/>
    <s v="fun"/>
    <x v="0"/>
    <n v="50"/>
  </r>
  <r>
    <d v="2022-09-29T01:51:12"/>
    <s v="Partying"/>
    <x v="1"/>
    <s v="fun"/>
    <x v="0"/>
    <n v="50"/>
  </r>
  <r>
    <d v="2022-10-06T02:18:54"/>
    <s v="Partying"/>
    <x v="1"/>
    <s v="fun"/>
    <x v="0"/>
    <n v="50"/>
  </r>
  <r>
    <d v="2022-10-13T02:46:36"/>
    <s v="Partying"/>
    <x v="1"/>
    <s v="fun"/>
    <x v="0"/>
    <n v="50"/>
  </r>
  <r>
    <d v="2022-10-20T03:14:18"/>
    <s v="Partying"/>
    <x v="1"/>
    <s v="fun"/>
    <x v="0"/>
    <n v="50"/>
  </r>
  <r>
    <d v="2022-10-27T03:42:00"/>
    <s v="Partying"/>
    <x v="1"/>
    <s v="fun"/>
    <x v="0"/>
    <n v="50"/>
  </r>
  <r>
    <d v="2022-11-03T04:09:42"/>
    <s v="Partying"/>
    <x v="1"/>
    <s v="fun"/>
    <x v="0"/>
    <n v="50"/>
  </r>
  <r>
    <d v="2022-11-10T04:37:24"/>
    <s v="Partying"/>
    <x v="1"/>
    <s v="fun"/>
    <x v="0"/>
    <n v="50"/>
  </r>
  <r>
    <d v="2022-11-17T05:05:06"/>
    <s v="Partying"/>
    <x v="1"/>
    <s v="fun"/>
    <x v="0"/>
    <n v="50"/>
  </r>
  <r>
    <d v="2022-11-24T05:32:48"/>
    <s v="Partying"/>
    <x v="1"/>
    <s v="fun"/>
    <x v="0"/>
    <n v="50"/>
  </r>
  <r>
    <d v="2022-12-01T06:00:30"/>
    <s v="Partying"/>
    <x v="1"/>
    <s v="fun"/>
    <x v="0"/>
    <n v="50"/>
  </r>
  <r>
    <d v="2022-12-08T06:28:12"/>
    <s v="Partying"/>
    <x v="1"/>
    <s v="fun"/>
    <x v="0"/>
    <n v="50"/>
  </r>
  <r>
    <d v="2022-12-15T06:55:54"/>
    <s v="Partying"/>
    <x v="1"/>
    <s v="fun"/>
    <x v="0"/>
    <n v="50"/>
  </r>
  <r>
    <d v="2022-12-22T07:23:36"/>
    <s v="Partying"/>
    <x v="1"/>
    <s v="fun"/>
    <x v="0"/>
    <n v="50"/>
  </r>
  <r>
    <d v="2022-12-29T07:51:18"/>
    <s v="Partying"/>
    <x v="1"/>
    <s v="fun"/>
    <x v="0"/>
    <n v="50"/>
  </r>
  <r>
    <d v="2023-01-05T08:19:00"/>
    <s v="Partying"/>
    <x v="1"/>
    <s v="fun"/>
    <x v="0"/>
    <n v="50"/>
  </r>
  <r>
    <d v="2023-01-12T08:46:42"/>
    <s v="Partying"/>
    <x v="1"/>
    <s v="fun"/>
    <x v="0"/>
    <n v="50"/>
  </r>
  <r>
    <d v="2023-01-19T09:14:24"/>
    <s v="Partying"/>
    <x v="1"/>
    <s v="fun"/>
    <x v="0"/>
    <n v="50"/>
  </r>
  <r>
    <d v="2023-01-26T09:42:06"/>
    <s v="Partying"/>
    <x v="1"/>
    <s v="fun"/>
    <x v="0"/>
    <n v="50"/>
  </r>
  <r>
    <d v="2023-02-02T10:09:48"/>
    <s v="Partying"/>
    <x v="1"/>
    <s v="fun"/>
    <x v="0"/>
    <n v="50"/>
  </r>
  <r>
    <d v="2023-02-09T10:37:30"/>
    <s v="Partying"/>
    <x v="1"/>
    <s v="fun"/>
    <x v="0"/>
    <n v="50"/>
  </r>
  <r>
    <d v="2023-02-16T11:05:12"/>
    <s v="Partying"/>
    <x v="1"/>
    <s v="fun"/>
    <x v="0"/>
    <n v="50"/>
  </r>
  <r>
    <d v="2023-02-23T11:32:54"/>
    <s v="Partying"/>
    <x v="1"/>
    <s v="fun"/>
    <x v="0"/>
    <n v="50"/>
  </r>
  <r>
    <d v="2023-03-02T12:00:36"/>
    <s v="Partying"/>
    <x v="1"/>
    <s v="fun"/>
    <x v="0"/>
    <n v="50"/>
  </r>
  <r>
    <d v="2023-03-09T12:28:18"/>
    <s v="Partying"/>
    <x v="1"/>
    <s v="fun"/>
    <x v="0"/>
    <n v="50"/>
  </r>
  <r>
    <d v="2023-03-16T12:56:00"/>
    <s v="Partying"/>
    <x v="1"/>
    <s v="fun"/>
    <x v="0"/>
    <n v="50"/>
  </r>
  <r>
    <d v="2023-03-23T13:23:42"/>
    <s v="Partying"/>
    <x v="1"/>
    <s v="fun"/>
    <x v="0"/>
    <n v="50"/>
  </r>
  <r>
    <d v="2023-03-30T13:51:24"/>
    <s v="Partying"/>
    <x v="1"/>
    <s v="fun"/>
    <x v="0"/>
    <n v="50"/>
  </r>
  <r>
    <d v="2023-04-06T14:19:06"/>
    <s v="Partying"/>
    <x v="1"/>
    <s v="fun"/>
    <x v="0"/>
    <n v="50"/>
  </r>
  <r>
    <d v="2023-04-13T14:46:48"/>
    <s v="Partying"/>
    <x v="1"/>
    <s v="fun"/>
    <x v="0"/>
    <n v="50"/>
  </r>
  <r>
    <d v="2023-04-20T15:14:30"/>
    <s v="Partying"/>
    <x v="1"/>
    <s v="fun"/>
    <x v="0"/>
    <n v="50"/>
  </r>
  <r>
    <d v="2023-04-27T15:42:12"/>
    <s v="Partying"/>
    <x v="1"/>
    <s v="fun"/>
    <x v="0"/>
    <n v="50"/>
  </r>
  <r>
    <d v="2023-05-04T16:09:54"/>
    <s v="Partying"/>
    <x v="1"/>
    <s v="fun"/>
    <x v="0"/>
    <n v="50"/>
  </r>
  <r>
    <d v="2023-05-11T16:37:36"/>
    <s v="Partying"/>
    <x v="1"/>
    <s v="fun"/>
    <x v="0"/>
    <n v="50"/>
  </r>
  <r>
    <d v="2023-05-18T17:05:18"/>
    <s v="Partying"/>
    <x v="1"/>
    <s v="fun"/>
    <x v="0"/>
    <n v="50"/>
  </r>
  <r>
    <d v="2023-05-25T17:33:00"/>
    <s v="Partying"/>
    <x v="1"/>
    <s v="fun"/>
    <x v="0"/>
    <n v="50"/>
  </r>
  <r>
    <d v="2023-06-01T18:00:42"/>
    <s v="Partying"/>
    <x v="1"/>
    <s v="fun"/>
    <x v="0"/>
    <n v="50"/>
  </r>
  <r>
    <d v="2023-06-08T18:28:24"/>
    <s v="Partying"/>
    <x v="1"/>
    <s v="fun"/>
    <x v="0"/>
    <n v="50"/>
  </r>
  <r>
    <d v="2023-06-15T18:56:06"/>
    <s v="Partying"/>
    <x v="1"/>
    <s v="fun"/>
    <x v="0"/>
    <n v="50"/>
  </r>
  <r>
    <d v="2023-06-22T19:23:48"/>
    <s v="Partying"/>
    <x v="1"/>
    <s v="fun"/>
    <x v="0"/>
    <n v="50"/>
  </r>
  <r>
    <d v="2023-06-29T19:51:30"/>
    <s v="Partying"/>
    <x v="1"/>
    <s v="fun"/>
    <x v="0"/>
    <n v="50"/>
  </r>
  <r>
    <d v="2023-07-06T20:19:12"/>
    <s v="Partying"/>
    <x v="1"/>
    <s v="fun"/>
    <x v="0"/>
    <n v="50"/>
  </r>
  <r>
    <d v="2023-07-13T20:46:54"/>
    <s v="Partying"/>
    <x v="1"/>
    <s v="fun"/>
    <x v="0"/>
    <n v="50"/>
  </r>
  <r>
    <d v="2023-07-20T21:14:36"/>
    <s v="Partying"/>
    <x v="1"/>
    <s v="fun"/>
    <x v="0"/>
    <n v="50"/>
  </r>
  <r>
    <d v="2023-07-27T21:42:18"/>
    <s v="Partying"/>
    <x v="1"/>
    <s v="fun"/>
    <x v="0"/>
    <n v="50"/>
  </r>
  <r>
    <d v="2023-08-03T22:10:00"/>
    <s v="Partying"/>
    <x v="1"/>
    <s v="fun"/>
    <x v="0"/>
    <n v="50"/>
  </r>
  <r>
    <d v="2023-08-10T22:37:42"/>
    <s v="Partying"/>
    <x v="1"/>
    <s v="fun"/>
    <x v="0"/>
    <n v="50"/>
  </r>
  <r>
    <d v="2023-08-17T23:05:24"/>
    <s v="Partying"/>
    <x v="1"/>
    <s v="fun"/>
    <x v="0"/>
    <n v="50"/>
  </r>
  <r>
    <d v="2023-08-24T23:33:06"/>
    <s v="Partying"/>
    <x v="1"/>
    <s v="fun"/>
    <x v="0"/>
    <n v="50"/>
  </r>
  <r>
    <d v="2023-09-01T00:00:48"/>
    <s v="Partying"/>
    <x v="1"/>
    <s v="fun"/>
    <x v="0"/>
    <n v="50"/>
  </r>
  <r>
    <d v="2023-09-08T00:28:30"/>
    <s v="Partying"/>
    <x v="1"/>
    <s v="fun"/>
    <x v="0"/>
    <n v="50"/>
  </r>
  <r>
    <d v="2023-09-15T00:56:12"/>
    <s v="Partying"/>
    <x v="1"/>
    <s v="fun"/>
    <x v="0"/>
    <n v="50"/>
  </r>
  <r>
    <d v="2023-09-22T01:23:54"/>
    <s v="Partying"/>
    <x v="1"/>
    <s v="fun"/>
    <x v="0"/>
    <n v="50"/>
  </r>
  <r>
    <d v="2023-09-29T01:51:36"/>
    <s v="Partying"/>
    <x v="1"/>
    <s v="fun"/>
    <x v="0"/>
    <n v="50"/>
  </r>
  <r>
    <d v="2023-10-06T02:19:18"/>
    <s v="Partying"/>
    <x v="1"/>
    <s v="fun"/>
    <x v="0"/>
    <n v="50"/>
  </r>
  <r>
    <d v="2023-10-13T02:47:00"/>
    <s v="Partying"/>
    <x v="1"/>
    <s v="fun"/>
    <x v="0"/>
    <n v="50"/>
  </r>
  <r>
    <d v="2023-10-20T03:14:42"/>
    <s v="Partying"/>
    <x v="1"/>
    <s v="fun"/>
    <x v="0"/>
    <n v="50"/>
  </r>
  <r>
    <d v="2023-10-27T03:42:24"/>
    <s v="Partying"/>
    <x v="1"/>
    <s v="fun"/>
    <x v="0"/>
    <n v="50"/>
  </r>
  <r>
    <d v="2023-11-03T04:10:06"/>
    <s v="Partying"/>
    <x v="1"/>
    <s v="fun"/>
    <x v="0"/>
    <n v="50"/>
  </r>
  <r>
    <d v="2023-11-10T04:37:48"/>
    <s v="Partying"/>
    <x v="1"/>
    <s v="fun"/>
    <x v="0"/>
    <n v="50"/>
  </r>
  <r>
    <d v="2023-11-17T05:05:30"/>
    <s v="Partying"/>
    <x v="1"/>
    <s v="fun"/>
    <x v="0"/>
    <n v="50"/>
  </r>
  <r>
    <d v="2023-11-24T05:33:12"/>
    <s v="Partying"/>
    <x v="1"/>
    <s v="fun"/>
    <x v="0"/>
    <n v="50"/>
  </r>
  <r>
    <d v="2023-12-01T06:00:54"/>
    <s v="Partying"/>
    <x v="1"/>
    <s v="fun"/>
    <x v="0"/>
    <n v="50"/>
  </r>
  <r>
    <d v="2023-12-08T06:28:36"/>
    <s v="Partying"/>
    <x v="1"/>
    <s v="fun"/>
    <x v="0"/>
    <n v="50"/>
  </r>
  <r>
    <d v="2023-12-15T06:56:18"/>
    <s v="Partying"/>
    <x v="1"/>
    <s v="fun"/>
    <x v="0"/>
    <n v="50"/>
  </r>
  <r>
    <d v="2023-12-22T07:24:00"/>
    <s v="Partying"/>
    <x v="1"/>
    <s v="fun"/>
    <x v="0"/>
    <n v="50"/>
  </r>
  <r>
    <d v="2023-12-29T07:51:42"/>
    <s v="Partying"/>
    <x v="1"/>
    <s v="fun"/>
    <x v="0"/>
    <n v="50"/>
  </r>
  <r>
    <d v="2024-01-05T08:19:24"/>
    <s v="Partying"/>
    <x v="1"/>
    <s v="fun"/>
    <x v="0"/>
    <n v="50"/>
  </r>
  <r>
    <d v="2024-01-12T08:47:06"/>
    <s v="Partying"/>
    <x v="1"/>
    <s v="fun"/>
    <x v="0"/>
    <n v="50"/>
  </r>
  <r>
    <d v="2024-01-19T09:14:48"/>
    <s v="Partying"/>
    <x v="1"/>
    <s v="fun"/>
    <x v="0"/>
    <n v="50"/>
  </r>
  <r>
    <d v="2024-01-26T09:42:30"/>
    <s v="Partying"/>
    <x v="1"/>
    <s v="fun"/>
    <x v="0"/>
    <n v="50"/>
  </r>
  <r>
    <d v="2024-02-02T10:10:12"/>
    <s v="Partying"/>
    <x v="1"/>
    <s v="fun"/>
    <x v="0"/>
    <n v="50"/>
  </r>
  <r>
    <d v="2024-02-09T10:37:54"/>
    <s v="Partying"/>
    <x v="1"/>
    <s v="fun"/>
    <x v="0"/>
    <n v="50"/>
  </r>
  <r>
    <d v="2024-02-16T11:05:36"/>
    <s v="Partying"/>
    <x v="1"/>
    <s v="fun"/>
    <x v="0"/>
    <n v="50"/>
  </r>
  <r>
    <d v="2024-02-23T11:33:18"/>
    <s v="Partying"/>
    <x v="1"/>
    <s v="fun"/>
    <x v="0"/>
    <n v="50"/>
  </r>
  <r>
    <d v="2024-03-01T12:01:00"/>
    <s v="Partying"/>
    <x v="1"/>
    <s v="fun"/>
    <x v="0"/>
    <n v="50"/>
  </r>
  <r>
    <d v="2024-03-08T12:28:42"/>
    <s v="Partying"/>
    <x v="1"/>
    <s v="fun"/>
    <x v="0"/>
    <n v="50"/>
  </r>
  <r>
    <d v="2024-03-15T12:56:24"/>
    <s v="Partying"/>
    <x v="1"/>
    <s v="fun"/>
    <x v="0"/>
    <n v="50"/>
  </r>
  <r>
    <d v="2024-03-22T13:24:06"/>
    <s v="Partying"/>
    <x v="1"/>
    <s v="fun"/>
    <x v="0"/>
    <n v="50"/>
  </r>
  <r>
    <d v="2024-03-29T13:51:48"/>
    <s v="Partying"/>
    <x v="1"/>
    <s v="fun"/>
    <x v="0"/>
    <n v="50"/>
  </r>
  <r>
    <d v="2024-04-05T14:19:30"/>
    <s v="Partying"/>
    <x v="1"/>
    <s v="fun"/>
    <x v="0"/>
    <n v="50"/>
  </r>
  <r>
    <d v="2024-04-12T14:47:12"/>
    <s v="Partying"/>
    <x v="1"/>
    <s v="fun"/>
    <x v="0"/>
    <n v="50"/>
  </r>
  <r>
    <d v="2024-04-19T15:14:54"/>
    <s v="Partying"/>
    <x v="1"/>
    <s v="fun"/>
    <x v="0"/>
    <n v="50"/>
  </r>
  <r>
    <d v="2024-04-26T15:42:36"/>
    <s v="Partying"/>
    <x v="1"/>
    <s v="fun"/>
    <x v="0"/>
    <n v="50"/>
  </r>
  <r>
    <d v="2024-05-03T16:10:18"/>
    <s v="Partying"/>
    <x v="1"/>
    <s v="fun"/>
    <x v="0"/>
    <n v="50"/>
  </r>
  <r>
    <d v="2024-05-10T16:38:00"/>
    <s v="Partying"/>
    <x v="1"/>
    <s v="fun"/>
    <x v="0"/>
    <n v="50"/>
  </r>
  <r>
    <d v="2024-05-17T17:05:42"/>
    <s v="Partying"/>
    <x v="1"/>
    <s v="fun"/>
    <x v="0"/>
    <n v="50"/>
  </r>
  <r>
    <d v="2024-05-24T17:33:24"/>
    <s v="Partying"/>
    <x v="1"/>
    <s v="fun"/>
    <x v="0"/>
    <n v="50"/>
  </r>
  <r>
    <d v="2024-05-31T18:01:06"/>
    <s v="Partying"/>
    <x v="1"/>
    <s v="fun"/>
    <x v="0"/>
    <n v="50"/>
  </r>
  <r>
    <d v="2024-06-07T18:28:48"/>
    <s v="Partying"/>
    <x v="1"/>
    <s v="fun"/>
    <x v="0"/>
    <n v="50"/>
  </r>
  <r>
    <d v="2024-06-14T18:56:30"/>
    <s v="Partying"/>
    <x v="1"/>
    <s v="fun"/>
    <x v="0"/>
    <n v="50"/>
  </r>
  <r>
    <d v="2024-06-21T19:24:12"/>
    <s v="Partying"/>
    <x v="1"/>
    <s v="fun"/>
    <x v="0"/>
    <n v="50"/>
  </r>
  <r>
    <d v="2024-06-28T19:51:54"/>
    <s v="Partying"/>
    <x v="1"/>
    <s v="fun"/>
    <x v="0"/>
    <n v="50"/>
  </r>
  <r>
    <d v="2024-07-05T20:19:36"/>
    <s v="Partying"/>
    <x v="1"/>
    <s v="fun"/>
    <x v="0"/>
    <n v="50"/>
  </r>
  <r>
    <d v="2024-07-12T20:47:18"/>
    <s v="Partying"/>
    <x v="1"/>
    <s v="fun"/>
    <x v="0"/>
    <n v="50"/>
  </r>
  <r>
    <d v="2024-07-19T21:15:00"/>
    <s v="Partying"/>
    <x v="1"/>
    <s v="fun"/>
    <x v="0"/>
    <n v="50"/>
  </r>
  <r>
    <d v="2024-07-26T21:42:42"/>
    <s v="Partying"/>
    <x v="1"/>
    <s v="fun"/>
    <x v="0"/>
    <n v="50"/>
  </r>
  <r>
    <d v="2024-08-02T22:10:24"/>
    <s v="Partying"/>
    <x v="1"/>
    <s v="fun"/>
    <x v="0"/>
    <n v="50"/>
  </r>
  <r>
    <d v="2024-08-09T22:38:06"/>
    <s v="Partying"/>
    <x v="1"/>
    <s v="fun"/>
    <x v="0"/>
    <n v="50"/>
  </r>
  <r>
    <d v="2024-08-16T23:05:48"/>
    <s v="Partying"/>
    <x v="1"/>
    <s v="fun"/>
    <x v="0"/>
    <n v="50"/>
  </r>
  <r>
    <d v="2024-08-23T23:33:30"/>
    <s v="Partying"/>
    <x v="1"/>
    <s v="fun"/>
    <x v="0"/>
    <n v="50"/>
  </r>
  <r>
    <d v="2024-08-31T00:01:12"/>
    <s v="Partying"/>
    <x v="1"/>
    <s v="fun"/>
    <x v="0"/>
    <n v="50"/>
  </r>
  <r>
    <d v="2024-09-07T00:28:54"/>
    <s v="Partying"/>
    <x v="1"/>
    <s v="fun"/>
    <x v="0"/>
    <n v="50"/>
  </r>
  <r>
    <d v="2024-09-14T00:56:36"/>
    <s v="Partying"/>
    <x v="1"/>
    <s v="fun"/>
    <x v="0"/>
    <n v="50"/>
  </r>
  <r>
    <d v="2024-09-21T01:24:18"/>
    <s v="Partying"/>
    <x v="1"/>
    <s v="fun"/>
    <x v="0"/>
    <n v="50"/>
  </r>
  <r>
    <d v="2024-09-28T01:52:00"/>
    <s v="Partying"/>
    <x v="1"/>
    <s v="fun"/>
    <x v="0"/>
    <n v="50"/>
  </r>
  <r>
    <d v="2024-10-05T02:19:42"/>
    <s v="Partying"/>
    <x v="1"/>
    <s v="fun"/>
    <x v="0"/>
    <n v="50"/>
  </r>
  <r>
    <d v="2024-10-12T02:47:24"/>
    <s v="Partying"/>
    <x v="1"/>
    <s v="fun"/>
    <x v="0"/>
    <n v="50"/>
  </r>
  <r>
    <d v="2024-10-19T03:15:06"/>
    <s v="Partying"/>
    <x v="1"/>
    <s v="fun"/>
    <x v="0"/>
    <n v="50"/>
  </r>
  <r>
    <d v="2024-10-26T03:42:48"/>
    <s v="Partying"/>
    <x v="1"/>
    <s v="fun"/>
    <x v="0"/>
    <n v="50"/>
  </r>
  <r>
    <d v="2024-11-02T04:10:30"/>
    <s v="Partying"/>
    <x v="1"/>
    <s v="fun"/>
    <x v="0"/>
    <n v="50"/>
  </r>
  <r>
    <d v="2024-11-09T04:38:12"/>
    <s v="Partying"/>
    <x v="1"/>
    <s v="fun"/>
    <x v="0"/>
    <n v="50"/>
  </r>
  <r>
    <d v="2024-11-16T05:05:54"/>
    <s v="Partying"/>
    <x v="1"/>
    <s v="fun"/>
    <x v="0"/>
    <n v="50"/>
  </r>
  <r>
    <d v="2024-11-23T05:33:36"/>
    <s v="Partying"/>
    <x v="1"/>
    <s v="fun"/>
    <x v="0"/>
    <n v="50"/>
  </r>
  <r>
    <d v="2024-11-30T06:01:18"/>
    <s v="Partying"/>
    <x v="1"/>
    <s v="fun"/>
    <x v="0"/>
    <n v="50"/>
  </r>
  <r>
    <d v="2024-12-07T06:29:00"/>
    <s v="Partying"/>
    <x v="1"/>
    <s v="fun"/>
    <x v="0"/>
    <n v="50"/>
  </r>
  <r>
    <d v="2024-12-14T06:56:42"/>
    <s v="Partying"/>
    <x v="1"/>
    <s v="fun"/>
    <x v="0"/>
    <n v="50"/>
  </r>
  <r>
    <d v="2024-12-21T07:24:24"/>
    <s v="Partying"/>
    <x v="1"/>
    <s v="fun"/>
    <x v="0"/>
    <n v="50"/>
  </r>
  <r>
    <d v="2024-12-28T07:52:06"/>
    <s v="Partying"/>
    <x v="1"/>
    <s v="fun"/>
    <x v="0"/>
    <n v="50"/>
  </r>
  <r>
    <d v="2021-12-31T16:00:00"/>
    <s v="Rent"/>
    <x v="2"/>
    <s v="CMH/Blair House"/>
    <x v="2"/>
    <n v="1000"/>
  </r>
  <r>
    <d v="2022-01-31T02:00:00"/>
    <s v="Rent"/>
    <x v="2"/>
    <s v="CMH/Blair House"/>
    <x v="2"/>
    <n v="1000"/>
  </r>
  <r>
    <d v="2022-03-02T12:00:00"/>
    <s v="Rent"/>
    <x v="2"/>
    <s v="CMH/Blair House"/>
    <x v="2"/>
    <n v="1000"/>
  </r>
  <r>
    <d v="2022-04-01T22:00:00"/>
    <s v="Rent"/>
    <x v="2"/>
    <s v="CMH/Blair House"/>
    <x v="2"/>
    <n v="1000"/>
  </r>
  <r>
    <d v="2022-05-02T08:00:00"/>
    <s v="Rent"/>
    <x v="2"/>
    <s v="CMH/Blair House"/>
    <x v="2"/>
    <n v="1000"/>
  </r>
  <r>
    <d v="2022-06-01T18:00:00"/>
    <s v="Rent"/>
    <x v="2"/>
    <s v="CMH/Blair House"/>
    <x v="2"/>
    <n v="1000"/>
  </r>
  <r>
    <d v="2022-07-02T04:00:00"/>
    <s v="Rent"/>
    <x v="2"/>
    <s v="CMH/Blair House"/>
    <x v="2"/>
    <n v="1000"/>
  </r>
  <r>
    <d v="2022-08-01T14:00:00"/>
    <s v="Rent"/>
    <x v="2"/>
    <s v="CMH/Blair House"/>
    <x v="2"/>
    <n v="1000"/>
  </r>
  <r>
    <d v="2022-09-01T00:00:00"/>
    <s v="Rent"/>
    <x v="2"/>
    <s v="CMH/Blair House"/>
    <x v="2"/>
    <n v="1000"/>
  </r>
  <r>
    <d v="2022-10-01T10:00:00"/>
    <s v="Rent"/>
    <x v="2"/>
    <s v="CMH/Blair House"/>
    <x v="2"/>
    <n v="1000"/>
  </r>
  <r>
    <d v="2022-10-31T20:00:00"/>
    <s v="Rent"/>
    <x v="2"/>
    <s v="CMH/Blair House"/>
    <x v="2"/>
    <n v="1000"/>
  </r>
  <r>
    <d v="2022-12-01T06:00:00"/>
    <s v="Rent"/>
    <x v="2"/>
    <s v="CMH/Blair House"/>
    <x v="2"/>
    <n v="1000"/>
  </r>
  <r>
    <d v="2022-12-31T16:00:00"/>
    <s v="Rent"/>
    <x v="2"/>
    <s v="CMH/Blair House"/>
    <x v="2"/>
    <n v="1000"/>
  </r>
  <r>
    <d v="2023-01-31T02:00:00"/>
    <s v="Rent"/>
    <x v="2"/>
    <s v="CMH/Blair House"/>
    <x v="2"/>
    <n v="1000"/>
  </r>
  <r>
    <d v="2023-03-02T12:00:00"/>
    <s v="Rent"/>
    <x v="2"/>
    <s v="CMH/Blair House"/>
    <x v="2"/>
    <n v="1000"/>
  </r>
  <r>
    <d v="2023-04-01T22:00:00"/>
    <s v="Rent"/>
    <x v="2"/>
    <s v="CMH/Blair House"/>
    <x v="2"/>
    <n v="1000"/>
  </r>
  <r>
    <d v="2023-05-02T08:00:00"/>
    <s v="Rent"/>
    <x v="2"/>
    <s v="CMH/Blair House"/>
    <x v="2"/>
    <n v="1000"/>
  </r>
  <r>
    <d v="2023-06-01T18:00:00"/>
    <s v="Rent"/>
    <x v="2"/>
    <s v="CMH/Blair House"/>
    <x v="2"/>
    <n v="1000"/>
  </r>
  <r>
    <d v="2023-07-02T04:00:00"/>
    <s v="Rent"/>
    <x v="2"/>
    <s v="CMH/Blair House"/>
    <x v="2"/>
    <n v="1000"/>
  </r>
  <r>
    <d v="2023-08-01T14:00:00"/>
    <s v="Rent"/>
    <x v="2"/>
    <s v="CMH/Blair House"/>
    <x v="2"/>
    <n v="1000"/>
  </r>
  <r>
    <d v="2023-09-01T00:00:00"/>
    <s v="Rent"/>
    <x v="2"/>
    <s v="CMH/Blair House"/>
    <x v="2"/>
    <n v="1000"/>
  </r>
  <r>
    <d v="2023-10-01T10:00:00"/>
    <s v="Rent"/>
    <x v="2"/>
    <s v="CMH/Blair House"/>
    <x v="2"/>
    <n v="1000"/>
  </r>
  <r>
    <d v="2023-10-31T20:00:00"/>
    <s v="Rent"/>
    <x v="2"/>
    <s v="CMH/Blair House"/>
    <x v="2"/>
    <n v="1000"/>
  </r>
  <r>
    <d v="2023-12-01T06:00:00"/>
    <s v="Rent"/>
    <x v="2"/>
    <s v="CMH/Blair House"/>
    <x v="2"/>
    <n v="1000"/>
  </r>
  <r>
    <d v="2023-12-31T16:00:00"/>
    <s v="Rent"/>
    <x v="2"/>
    <s v="CMH/Blair House"/>
    <x v="2"/>
    <n v="1000"/>
  </r>
  <r>
    <d v="2024-01-31T02:00:00"/>
    <s v="Rent"/>
    <x v="2"/>
    <s v="CMH/Blair House"/>
    <x v="2"/>
    <n v="1000"/>
  </r>
  <r>
    <d v="2024-03-01T12:00:00"/>
    <s v="Rent"/>
    <x v="2"/>
    <s v="CMH/Blair House"/>
    <x v="2"/>
    <n v="1000"/>
  </r>
  <r>
    <d v="2024-03-31T22:00:00"/>
    <s v="Rent"/>
    <x v="2"/>
    <s v="CMH/Blair House"/>
    <x v="2"/>
    <n v="1000"/>
  </r>
  <r>
    <d v="2024-05-01T08:00:00"/>
    <s v="Rent"/>
    <x v="2"/>
    <s v="CMH/Blair House"/>
    <x v="2"/>
    <n v="1000"/>
  </r>
  <r>
    <d v="2024-05-31T18:00:00"/>
    <s v="Rent"/>
    <x v="2"/>
    <s v="CMH/Blair House"/>
    <x v="2"/>
    <n v="1000"/>
  </r>
  <r>
    <d v="2024-07-01T04:00:00"/>
    <s v="Rent"/>
    <x v="2"/>
    <s v="CMH/Blair House"/>
    <x v="2"/>
    <n v="1000"/>
  </r>
  <r>
    <d v="2024-07-31T14:00:00"/>
    <s v="Rent"/>
    <x v="2"/>
    <s v="CMH/Blair House"/>
    <x v="2"/>
    <n v="1000"/>
  </r>
  <r>
    <d v="2024-08-31T00:00:00"/>
    <s v="Rent"/>
    <x v="2"/>
    <s v="CMH/Blair House"/>
    <x v="2"/>
    <n v="1000"/>
  </r>
  <r>
    <d v="2024-09-30T10:00:00"/>
    <s v="Rent"/>
    <x v="2"/>
    <s v="CMH/Blair House"/>
    <x v="2"/>
    <n v="1000"/>
  </r>
  <r>
    <d v="2024-10-30T20:00:00"/>
    <s v="Rent"/>
    <x v="2"/>
    <s v="CMH/Blair House"/>
    <x v="2"/>
    <n v="1000"/>
  </r>
  <r>
    <d v="2024-11-30T06:00:00"/>
    <s v="Rent"/>
    <x v="2"/>
    <s v="CMH/Blair House"/>
    <x v="2"/>
    <n v="1000"/>
  </r>
  <r>
    <d v="2024-12-30T16:00:00"/>
    <s v="Rent"/>
    <x v="2"/>
    <s v="CMH/Blair House"/>
    <x v="2"/>
    <n v="1000"/>
  </r>
  <r>
    <d v="2022-04-17T03:00:00"/>
    <s v="Tuition"/>
    <x v="3"/>
    <s v="8 terms/5 years = 1.6"/>
    <x v="2"/>
    <n v="8000"/>
  </r>
  <r>
    <d v="2022-12-01T06:00:00"/>
    <s v="Tuition"/>
    <x v="3"/>
    <s v="8 terms/5 years = 1.6"/>
    <x v="2"/>
    <n v="8000"/>
  </r>
  <r>
    <d v="2023-07-17T09:00:00"/>
    <s v="Tuition"/>
    <x v="3"/>
    <s v="8 terms/5 years = 1.6"/>
    <x v="2"/>
    <n v="8000"/>
  </r>
  <r>
    <d v="2024-03-01T12:00:00"/>
    <s v="Tuition"/>
    <x v="3"/>
    <s v="8 terms/5 years = 1.6"/>
    <x v="2"/>
    <n v="8000"/>
  </r>
  <r>
    <d v="2024-10-15T15:00:00"/>
    <s v="Tuition"/>
    <x v="3"/>
    <s v="8 terms/5 years = 1.6"/>
    <x v="2"/>
    <n v="8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7A7F94D-81AA-4A8D-ADF7-740175DB9C3E}" name="PivotTable1" cacheId="0"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chartFormat="1">
  <location ref="A1:E7" firstHeaderRow="1" firstDataRow="2" firstDataCol="1"/>
  <pivotFields count="6">
    <pivotField numFmtId="167" showAll="0"/>
    <pivotField showAll="0"/>
    <pivotField axis="axisRow" showAll="0">
      <items count="5">
        <item x="3"/>
        <item x="1"/>
        <item x="0"/>
        <item x="2"/>
        <item t="default"/>
      </items>
    </pivotField>
    <pivotField showAll="0"/>
    <pivotField axis="axisCol" showAll="0">
      <items count="4">
        <item x="0"/>
        <item x="1"/>
        <item x="2"/>
        <item t="default"/>
      </items>
    </pivotField>
    <pivotField dataField="1" showAll="0"/>
  </pivotFields>
  <rowFields count="1">
    <field x="2"/>
  </rowFields>
  <rowItems count="5">
    <i>
      <x/>
    </i>
    <i>
      <x v="1"/>
    </i>
    <i>
      <x v="2"/>
    </i>
    <i>
      <x v="3"/>
    </i>
    <i t="grand">
      <x/>
    </i>
  </rowItems>
  <colFields count="1">
    <field x="4"/>
  </colFields>
  <colItems count="4">
    <i>
      <x/>
    </i>
    <i>
      <x v="1"/>
    </i>
    <i>
      <x v="2"/>
    </i>
    <i t="grand">
      <x/>
    </i>
  </colItems>
  <dataFields count="1">
    <dataField name="Sum of Amount ($)" fld="5" baseField="0" baseItem="0"/>
  </dataFields>
  <chartFormats count="3">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s>
  <pivotTableStyleInfo name="PivotStyleDark27" showRowHeaders="1" showColHeaders="1" showRowStripes="0" showColStripes="0" showLastColumn="1"/>
  <extLs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6">
  <rv s="0">
    <v>http://en.wikipedia.org/wiki/Public_domain</v>
    <v>Public domain</v>
  </rv>
  <rv s="0">
    <v>http://nl.wikipedia.org/wiki/Apple_Inc.</v>
    <v>Wikipedia</v>
  </rv>
  <rv s="1">
    <v>0</v>
    <v>1</v>
  </rv>
  <rv s="2">
    <v>6</v>
    <v>https://www.bing.com/th?id=AMMS_5bc8393c85a56e6bb6524ea7b3970bad&amp;qlt=95</v>
    <v>2</v>
    <v>0</v>
    <v>https://www.bing.com/images/search?form=xlimg&amp;q=apple+inc</v>
    <v>Image of APPLE INC.</v>
  </rv>
  <rv s="0">
    <v>https://www.bing.com/financeapi/forcetrigger?t=a1mou2&amp;q=XNAS%3aAAPL&amp;form=skydnc</v>
    <v>Learn more on Bing</v>
  </rv>
  <rv s="3">
    <v>en-US</v>
    <v>a1mou2</v>
    <v>268435456</v>
    <v>1</v>
    <v>Powered by Refinitiv</v>
    <v>0</v>
    <v>APPLE INC. (XNAS:AAPL)</v>
    <v>3</v>
    <v>4</v>
    <v>Finance</v>
    <v>5</v>
    <v>182.94</v>
    <v>116.21</v>
    <v>1.2091000000000001</v>
    <v>-4.5400000000000003E-2</v>
    <v>-2.6370000000000001E-4</v>
    <v>USD</v>
    <v>Apple Inc. designs, manufactures and markets smartphones, personal computers, tablets, wearables and accessories, and sells a variety of related services. The Company’s products include iPhone, Mac, iPad, and Wearables, Home and Accessories. iPhone is the Company’s line of smartphones based on its iOS operating system. Mac is the Company’s line of personal computers based on its macOS operating system. iPad is the Company’s line of multi-purpose tablets based on its iPadOS operating system. Wearables, Home and Accessories includes AirPods, Apple TV, Apple Watch, Beats products, HomePod, iPod touch and other Apple-branded and third-party accessories. AirPods are the Company’s wireless headphones that interact with Siri. Apple Watch is the Company’s line of smart watches. Its services include Advertising, AppleCare, Cloud Services, Digital Content and Payment Services. Its customers are primarily in the consumer, small and mid-sized business, education, enterprise and government markets.</v>
    <v>154000</v>
    <v>Nasdaq Stock Market</v>
    <v>XNAS</v>
    <v>XNAS</v>
    <v>1 Apple Park Way, CUPERTINO, CA, 95014-0642 US</v>
    <v>173.78</v>
    <v>3</v>
    <v>Computers, Phones &amp; Household Electronics</v>
    <v>Stock</v>
    <v>44575.789634594534</v>
    <v>4</v>
    <v>171.09</v>
    <v>2811873589902</v>
    <v>APPLE INC.</v>
    <v>APPLE INC.</v>
    <v>171.36</v>
    <v>30.709099999999999</v>
    <v>172.19</v>
    <v>172.1446</v>
    <v>16334370000</v>
    <v>AAPL</v>
    <v>APPLE INC. (XNAS:AAPL)</v>
    <v>52000240</v>
    <v>100716743</v>
    <v>1977</v>
  </rv>
  <rv s="4">
    <v>5</v>
  </rv>
  <rv s="0">
    <v>https://www.bing.com/financeapi/forcetrigger?t=a24kar&amp;q=XNAS%3aTSLA&amp;form=skydnc</v>
    <v>Learn more on Bing</v>
  </rv>
  <rv s="5">
    <v>en-US</v>
    <v>a24kar</v>
    <v>268435456</v>
    <v>1</v>
    <v>Powered by Refinitiv</v>
    <v>7</v>
    <v>TESLA, INC. (XNAS:TSLA)</v>
    <v>8</v>
    <v>9</v>
    <v>Finance</v>
    <v>5</v>
    <v>1243.49</v>
    <v>539.49</v>
    <v>1.9839</v>
    <v>5.5650000000000004</v>
    <v>5.3949999999999996E-3</v>
    <v>USD</v>
    <v>Tesla, Inc. designs, develops, manufactures, sells and leases electric vehicles and energy generation and storage systems, and offers services related to its sustainable energy products. The Company's segments include automotive, and energy generation and storage. The automotive segment includes the design, development, manufacturing, sales and leasing of electric vehicles as well as sales of automotive regulatory credits. The energy generation and storage segment include the design, manufacture, installation, sales and leasing of solar energy systems and energy storage products, services related to its products, and sales of solar energy system incentives. Its automotive products include Model 3, Model Y, Model S and Model X. Model 3 is a four-door sedan. Model Y is a sport utility vehicle (SUV) built on the Model 3 platform. Model S is a four-door sedan. Model X is an SUV. The Company's energy storage products include Powerwall, Powerpack and Megapack.</v>
    <v>70757</v>
    <v>Nasdaq Stock Market</v>
    <v>XNAS</v>
    <v>XNAS</v>
    <v>13101 Harold Green Road, AUSTIN, TX, 78725 US</v>
    <v>1048.6498999999999</v>
    <v>Automobiles &amp; Auto Parts</v>
    <v>Stock</v>
    <v>44575.789641157033</v>
    <v>7</v>
    <v>1013.3788</v>
    <v>1035959000000</v>
    <v>TESLA, INC.</v>
    <v>TESLA, INC.</v>
    <v>1019.84</v>
    <v>334.73950000000002</v>
    <v>1031.56</v>
    <v>1037.125</v>
    <v>1004265000</v>
    <v>TSLA</v>
    <v>TESLA, INC. (XNAS:TSLA)</v>
    <v>17494018</v>
    <v>25539352</v>
    <v>2003</v>
  </rv>
  <rv s="4">
    <v>8</v>
  </rv>
  <rv s="0">
    <v>http://en.wikipedia.org/wiki/Alphabet_Inc.</v>
    <v>Wikipedia</v>
  </rv>
  <rv s="1">
    <v>0</v>
    <v>10</v>
  </rv>
  <rv s="2">
    <v>6</v>
    <v>https://www.bing.com/th?id=AMMS_91f59ff6c9305ce24b1cf0389cd856f8&amp;qlt=95</v>
    <v>11</v>
    <v>0</v>
    <v>https://www.bing.com/images/search?form=xlimg&amp;q=alphabet+inc.</v>
    <v>Image of ALPHABET INC.</v>
  </rv>
  <rv s="0">
    <v>https://www.bing.com/financeapi/forcetrigger?t=a1u3p2&amp;q=XNAS%3aGOOG&amp;form=skydnc</v>
    <v>Learn more on Bing</v>
  </rv>
  <rv s="3">
    <v>en-US</v>
    <v>a1u3p2</v>
    <v>268435456</v>
    <v>1</v>
    <v>Powered by Refinitiv</v>
    <v>0</v>
    <v>ALPHABET INC. (XNAS:GOOG)</v>
    <v>3</v>
    <v>4</v>
    <v>Finance</v>
    <v>5</v>
    <v>3037</v>
    <v>1721.55</v>
    <v>1.0672999999999999</v>
    <v>16.239999999999998</v>
    <v>5.836E-3</v>
    <v>USD</v>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v>150028</v>
    <v>Nasdaq Stock Market</v>
    <v>XNAS</v>
    <v>XNAS</v>
    <v>1600 Amphitheatre Pkwy, MOUNTAIN VIEW, CA, 94043-1351 US</v>
    <v>2824.01</v>
    <v>12</v>
    <v>Software &amp; IT Services</v>
    <v>Stock</v>
    <v>44575.789686805467</v>
    <v>13</v>
    <v>2750</v>
    <v>1843238000000</v>
    <v>ALPHABET INC.</v>
    <v>ALPHABET INC.</v>
    <v>2750</v>
    <v>26.787500000000001</v>
    <v>2782.62</v>
    <v>2798.86</v>
    <v>663764000</v>
    <v>GOOG</v>
    <v>ALPHABET INC. (XNAS:GOOG)</v>
    <v>640462</v>
    <v>1185022</v>
    <v>2015</v>
  </rv>
  <rv s="4">
    <v>14</v>
  </rv>
</rvData>
</file>

<file path=xl/richData/rdrichvaluestructure.xml><?xml version="1.0" encoding="utf-8"?>
<rvStructures xmlns="http://schemas.microsoft.com/office/spreadsheetml/2017/richdata" count="6">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10">
    <spb s="0">
      <v>0</v>
      <v>Name</v>
      <v>LearnMoreOnLink</v>
    </spb>
    <spb s="1">
      <v>0</v>
      <v>0</v>
    </spb>
    <spb s="2">
      <v>0</v>
      <v>0</v>
      <v>0</v>
    </spb>
    <spb s="3">
      <v>1</v>
      <v>2</v>
      <v>2</v>
      <v>2</v>
      <v>2</v>
    </spb>
    <spb s="4">
      <v>1</v>
      <v>2</v>
      <v>2</v>
      <v>1</v>
      <v>3</v>
      <v>1</v>
      <v>4</v>
      <v>1</v>
      <v>1</v>
      <v>5</v>
      <v>5</v>
      <v>6</v>
      <v>7</v>
      <v>1</v>
      <v>1</v>
      <v>1</v>
      <v>5</v>
      <v>8</v>
      <v>9</v>
      <v>10</v>
      <v>5</v>
    </spb>
    <spb s="5">
      <v>Real-Time Nasdaq Last Sale</v>
      <v>from previous close</v>
      <v>from previous close</v>
      <v>Source: Nasdaq Last Sale</v>
      <v>GMT</v>
    </spb>
    <spb s="6">
      <v>Powered by Refinitiv</v>
    </spb>
    <spb s="0">
      <v>1</v>
      <v>Name</v>
      <v>LearnMoreOnLink</v>
    </spb>
    <spb s="7">
      <v>2</v>
      <v>2</v>
      <v>2</v>
      <v>2</v>
    </spb>
    <spb s="8">
      <v>1</v>
      <v>2</v>
      <v>2</v>
      <v>1</v>
      <v>3</v>
      <v>1</v>
      <v>1</v>
      <v>1</v>
      <v>5</v>
      <v>5</v>
      <v>6</v>
      <v>7</v>
      <v>1</v>
      <v>1</v>
      <v>1</v>
      <v>5</v>
      <v>8</v>
      <v>9</v>
      <v>10</v>
      <v>5</v>
    </spb>
  </spbData>
</supportingPropertyBags>
</file>

<file path=xl/richData/rdsupportingpropertybagstructure.xml><?xml version="1.0" encoding="utf-8"?>
<spbStructures xmlns="http://schemas.microsoft.com/office/spreadsheetml/2017/richdata2" count="9">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na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165" formatCode="_([$$-409]* #,##0.00_);_([$$-409]* \(#,##0.00\);_([$$-409]* &quot;-&quot;??_);_(@_)"/>
    </x:dxf>
    <x:dxf>
      <x:numFmt numFmtId="27" formatCode="yyyy/mm/dd\ h:mm"/>
    </x:dxf>
    <x:dxf>
      <x:numFmt numFmtId="14" formatCode="0.00%"/>
    </x:dxf>
    <x:dxf>
      <x:numFmt numFmtId="3" formatCode="#,##0"/>
    </x:dxf>
    <x:dxf>
      <x:numFmt numFmtId="164" formatCode="_([$$-409]* #,##0_);_([$$-409]* \(#,##0\);_([$$-409]* &quot;-&quot;_);_(@_)"/>
    </x:dxf>
    <x:dxf>
      <x:numFmt numFmtId="4" formatCode="#,##0.00"/>
    </x:dxf>
    <x:dxf>
      <x:numFmt numFmtId="1" formatCode="0"/>
    </x:dxf>
  </dxfs>
  <richProperties>
    <rPr n="IsTitleField" t="b"/>
    <rPr n="IsHeroField" t="b"/>
  </richProperties>
  <richStyles>
    <rSty dxfid="1"/>
    <rSty dxfid="6"/>
    <rSty>
      <rpv i="0">1</rpv>
    </rSty>
    <rSty>
      <rpv i="1">1</rpv>
    </rSty>
    <rSty dxfid="4"/>
    <rSty dxfid="3"/>
    <rSty dxfid="5"/>
    <rSty dxfid="2"/>
    <rSty dxfid="7"/>
    <rSty dxfid="0"/>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B1680-AA22-4CB9-86E3-C1C0863CBBAC}">
  <sheetPr codeName="Sheet6"/>
  <dimension ref="A1:Q18"/>
  <sheetViews>
    <sheetView workbookViewId="0">
      <selection activeCell="J20" sqref="J20"/>
    </sheetView>
  </sheetViews>
  <sheetFormatPr defaultRowHeight="14.5" x14ac:dyDescent="0.35"/>
  <cols>
    <col min="1" max="1" width="8.7265625" style="16"/>
    <col min="2" max="2" width="27.81640625" customWidth="1"/>
    <col min="3" max="3" width="14.08984375" customWidth="1"/>
    <col min="4" max="4" width="7.90625" customWidth="1"/>
    <col min="5" max="5" width="12.36328125" customWidth="1"/>
    <col min="6" max="6" width="15.1796875" style="17" customWidth="1"/>
    <col min="7" max="7" width="8.7265625" style="16"/>
    <col min="8" max="8" width="18.6328125" customWidth="1"/>
    <col min="9" max="9" width="15.453125" customWidth="1"/>
    <col min="10" max="10" width="11.6328125" customWidth="1"/>
    <col min="11" max="11" width="14.7265625" customWidth="1"/>
    <col min="12" max="12" width="16.81640625" style="17" customWidth="1"/>
    <col min="13" max="13" width="9.6328125" customWidth="1"/>
    <col min="16" max="16" width="21.6328125" customWidth="1"/>
    <col min="17" max="17" width="17.1796875" customWidth="1"/>
  </cols>
  <sheetData>
    <row r="1" spans="1:17" ht="36" customHeight="1" x14ac:dyDescent="0.6">
      <c r="B1" s="23" t="s">
        <v>15</v>
      </c>
      <c r="C1" s="16"/>
      <c r="D1" s="16"/>
      <c r="E1" s="16"/>
      <c r="H1" s="23" t="s">
        <v>7</v>
      </c>
      <c r="I1" s="16"/>
      <c r="J1" s="16"/>
      <c r="K1" s="16"/>
      <c r="N1" t="s">
        <v>76</v>
      </c>
    </row>
    <row r="2" spans="1:17" s="22" customFormat="1" ht="28.5" customHeight="1" x14ac:dyDescent="0.35">
      <c r="A2" s="18"/>
      <c r="B2" s="19" t="s">
        <v>4</v>
      </c>
      <c r="C2" s="19" t="s">
        <v>18</v>
      </c>
      <c r="D2" s="19" t="s">
        <v>5</v>
      </c>
      <c r="E2" s="19" t="s">
        <v>16</v>
      </c>
      <c r="F2" s="20"/>
      <c r="G2" s="18"/>
      <c r="H2" s="19" t="s">
        <v>8</v>
      </c>
      <c r="I2" s="19" t="s">
        <v>19</v>
      </c>
      <c r="J2" s="19" t="s">
        <v>9</v>
      </c>
      <c r="K2" s="19" t="s">
        <v>17</v>
      </c>
      <c r="L2" s="21" t="s">
        <v>20</v>
      </c>
      <c r="N2" t="s">
        <v>25</v>
      </c>
      <c r="O2" s="29">
        <v>0.05</v>
      </c>
      <c r="P2" s="28">
        <v>44534</v>
      </c>
      <c r="Q2" s="13">
        <v>10561.93</v>
      </c>
    </row>
    <row r="3" spans="1:17" x14ac:dyDescent="0.35">
      <c r="B3" s="13" t="e" vm="1">
        <v>#VALUE!</v>
      </c>
      <c r="C3" s="24">
        <f>_FV($B$3,"Price")</f>
        <v>172.1446</v>
      </c>
      <c r="D3">
        <v>10</v>
      </c>
      <c r="E3" s="13">
        <f>C3*D3</f>
        <v>1721.4459999999999</v>
      </c>
      <c r="H3" t="s">
        <v>25</v>
      </c>
      <c r="I3" s="29">
        <v>0.05</v>
      </c>
      <c r="J3" s="28">
        <v>44534</v>
      </c>
      <c r="K3" s="13">
        <v>10561.93</v>
      </c>
      <c r="N3" t="s">
        <v>26</v>
      </c>
      <c r="O3" s="29">
        <v>3.5000000000000003E-2</v>
      </c>
      <c r="P3" s="28">
        <v>44534</v>
      </c>
      <c r="Q3" s="13">
        <v>15018.7</v>
      </c>
    </row>
    <row r="4" spans="1:17" x14ac:dyDescent="0.35">
      <c r="B4" s="13" t="e" vm="2">
        <v>#VALUE!</v>
      </c>
      <c r="C4" s="24">
        <f>_FV($B$4,"Price")</f>
        <v>1037.125</v>
      </c>
      <c r="D4">
        <v>10</v>
      </c>
      <c r="E4" s="13">
        <f>C4*D4</f>
        <v>10371.25</v>
      </c>
      <c r="H4" t="s">
        <v>26</v>
      </c>
      <c r="I4" s="29">
        <v>3.5000000000000003E-2</v>
      </c>
      <c r="J4" s="28">
        <v>44534</v>
      </c>
      <c r="K4" s="13">
        <v>15018.7</v>
      </c>
      <c r="N4" t="s">
        <v>27</v>
      </c>
      <c r="O4" s="29">
        <v>0.04</v>
      </c>
      <c r="P4" s="28">
        <v>44534</v>
      </c>
      <c r="Q4" s="13">
        <v>12508.21</v>
      </c>
    </row>
    <row r="5" spans="1:17" x14ac:dyDescent="0.35">
      <c r="B5" s="13" t="e" vm="3">
        <v>#VALUE!</v>
      </c>
      <c r="C5" s="24">
        <f>_FV($B$5,"Price")</f>
        <v>2798.86</v>
      </c>
      <c r="D5">
        <v>10</v>
      </c>
      <c r="E5" s="13">
        <f>C5*D5</f>
        <v>27988.600000000002</v>
      </c>
      <c r="H5" t="s">
        <v>27</v>
      </c>
      <c r="I5" s="29">
        <v>0.04</v>
      </c>
      <c r="J5" s="28">
        <v>44534</v>
      </c>
      <c r="K5" s="13">
        <v>12508.21</v>
      </c>
    </row>
    <row r="6" spans="1:17" x14ac:dyDescent="0.35">
      <c r="B6" s="13"/>
      <c r="C6" s="24"/>
      <c r="E6" s="13"/>
      <c r="J6" s="28"/>
    </row>
    <row r="7" spans="1:17" x14ac:dyDescent="0.35">
      <c r="B7" s="13"/>
      <c r="C7" s="24"/>
      <c r="E7" s="13"/>
    </row>
    <row r="8" spans="1:17" x14ac:dyDescent="0.35">
      <c r="B8" s="13"/>
      <c r="C8" s="24"/>
      <c r="E8" s="13"/>
    </row>
    <row r="9" spans="1:17" x14ac:dyDescent="0.35">
      <c r="B9" s="13"/>
      <c r="C9" s="24"/>
      <c r="E9" s="13"/>
    </row>
    <row r="10" spans="1:17" x14ac:dyDescent="0.35">
      <c r="B10" s="13"/>
      <c r="C10" s="24"/>
      <c r="E10" s="13"/>
    </row>
    <row r="11" spans="1:17" x14ac:dyDescent="0.35">
      <c r="B11" s="13"/>
      <c r="C11" s="24"/>
      <c r="E11" s="13"/>
    </row>
    <row r="12" spans="1:17" x14ac:dyDescent="0.35">
      <c r="B12" s="13"/>
      <c r="C12" s="24"/>
      <c r="E12" s="13"/>
    </row>
    <row r="13" spans="1:17" x14ac:dyDescent="0.35">
      <c r="B13" s="13"/>
      <c r="C13" s="25"/>
      <c r="E13" s="13"/>
    </row>
    <row r="14" spans="1:17" x14ac:dyDescent="0.35">
      <c r="B14" s="13"/>
      <c r="C14" s="26"/>
      <c r="E14" s="13"/>
    </row>
    <row r="15" spans="1:17" x14ac:dyDescent="0.35">
      <c r="B15" s="13"/>
      <c r="C15" s="24"/>
      <c r="E15" s="13"/>
    </row>
    <row r="16" spans="1:17" x14ac:dyDescent="0.35">
      <c r="B16" s="13"/>
      <c r="C16" s="24"/>
      <c r="E16" s="13"/>
    </row>
    <row r="17" spans="2:5" x14ac:dyDescent="0.35">
      <c r="B17" s="13"/>
      <c r="C17" s="24"/>
      <c r="E17" s="13"/>
    </row>
    <row r="18" spans="2:5" x14ac:dyDescent="0.35">
      <c r="B18" s="13"/>
      <c r="C18" s="27"/>
      <c r="E18" s="1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owSecurityForm">
                <anchor moveWithCells="1" sizeWithCells="1">
                  <from>
                    <xdr:col>5</xdr:col>
                    <xdr:colOff>196850</xdr:colOff>
                    <xdr:row>1</xdr:row>
                    <xdr:rowOff>203200</xdr:rowOff>
                  </from>
                  <to>
                    <xdr:col>5</xdr:col>
                    <xdr:colOff>927100</xdr:colOff>
                    <xdr:row>5</xdr:row>
                    <xdr:rowOff>0</xdr:rowOff>
                  </to>
                </anchor>
              </controlPr>
            </control>
          </mc:Choice>
        </mc:AlternateContent>
        <mc:AlternateContent xmlns:mc="http://schemas.openxmlformats.org/markup-compatibility/2006">
          <mc:Choice Requires="x14">
            <control shapeId="4099" r:id="rId5" name="Button 3">
              <controlPr defaultSize="0" print="0" autoFill="0" autoPict="0" macro="[0]!ClearInvestments">
                <anchor moveWithCells="1" sizeWithCells="1">
                  <from>
                    <xdr:col>5</xdr:col>
                    <xdr:colOff>203200</xdr:colOff>
                    <xdr:row>5</xdr:row>
                    <xdr:rowOff>95250</xdr:rowOff>
                  </from>
                  <to>
                    <xdr:col>5</xdr:col>
                    <xdr:colOff>920750</xdr:colOff>
                    <xdr:row>7</xdr:row>
                    <xdr:rowOff>57150</xdr:rowOff>
                  </to>
                </anchor>
              </controlPr>
            </control>
          </mc:Choice>
        </mc:AlternateContent>
        <mc:AlternateContent xmlns:mc="http://schemas.openxmlformats.org/markup-compatibility/2006">
          <mc:Choice Requires="x14">
            <control shapeId="4101" r:id="rId6" name="Button 5">
              <controlPr defaultSize="0" print="0" autoFill="0" autoPict="0" macro="[0]!ShowSavingsForm">
                <anchor moveWithCells="1" sizeWithCells="1">
                  <from>
                    <xdr:col>11</xdr:col>
                    <xdr:colOff>222250</xdr:colOff>
                    <xdr:row>1</xdr:row>
                    <xdr:rowOff>215900</xdr:rowOff>
                  </from>
                  <to>
                    <xdr:col>11</xdr:col>
                    <xdr:colOff>952500</xdr:colOff>
                    <xdr:row>5</xdr:row>
                    <xdr:rowOff>12700</xdr:rowOff>
                  </to>
                </anchor>
              </controlPr>
            </control>
          </mc:Choice>
        </mc:AlternateContent>
        <mc:AlternateContent xmlns:mc="http://schemas.openxmlformats.org/markup-compatibility/2006">
          <mc:Choice Requires="x14">
            <control shapeId="4102" r:id="rId7" name="Button 6">
              <controlPr defaultSize="0" print="0" autoFill="0" autoPict="0" macro="[0]!ClearSavings">
                <anchor moveWithCells="1" sizeWithCells="1">
                  <from>
                    <xdr:col>11</xdr:col>
                    <xdr:colOff>228600</xdr:colOff>
                    <xdr:row>5</xdr:row>
                    <xdr:rowOff>76200</xdr:rowOff>
                  </from>
                  <to>
                    <xdr:col>11</xdr:col>
                    <xdr:colOff>946150</xdr:colOff>
                    <xdr:row>7</xdr:row>
                    <xdr:rowOff>38100</xdr:rowOff>
                  </to>
                </anchor>
              </controlPr>
            </control>
          </mc:Choice>
        </mc:AlternateContent>
        <mc:AlternateContent xmlns:mc="http://schemas.openxmlformats.org/markup-compatibility/2006">
          <mc:Choice Requires="x14">
            <control shapeId="4104" r:id="rId8" name="Button 8">
              <controlPr defaultSize="0" print="0" autoFill="0" autoPict="0" macro="[0]!UpdateSavings">
                <anchor moveWithCells="1" sizeWithCells="1">
                  <from>
                    <xdr:col>11</xdr:col>
                    <xdr:colOff>228600</xdr:colOff>
                    <xdr:row>0</xdr:row>
                    <xdr:rowOff>88900</xdr:rowOff>
                  </from>
                  <to>
                    <xdr:col>11</xdr:col>
                    <xdr:colOff>946150</xdr:colOff>
                    <xdr:row>0</xdr:row>
                    <xdr:rowOff>419100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1048575"/>
  <sheetViews>
    <sheetView zoomScale="85" zoomScaleNormal="85" workbookViewId="0">
      <selection activeCell="B25" sqref="B25"/>
    </sheetView>
  </sheetViews>
  <sheetFormatPr defaultRowHeight="14.5" x14ac:dyDescent="0.35"/>
  <cols>
    <col min="1" max="1" width="8.7265625" style="4"/>
    <col min="2" max="2" width="11.453125" customWidth="1"/>
    <col min="3" max="3" width="17.7265625" customWidth="1"/>
    <col min="4" max="4" width="11.90625" customWidth="1"/>
    <col min="5" max="5" width="24.08984375" customWidth="1"/>
    <col min="6" max="8" width="11.1796875" customWidth="1"/>
    <col min="9" max="9" width="11.54296875" customWidth="1"/>
    <col min="10" max="10" width="19.1796875" style="11" customWidth="1"/>
    <col min="11" max="11" width="10.08984375" style="5" customWidth="1"/>
    <col min="12" max="12" width="10.7265625" customWidth="1"/>
    <col min="13" max="13" width="12" customWidth="1"/>
    <col min="14" max="14" width="18.36328125" customWidth="1"/>
    <col min="15" max="15" width="10.81640625" customWidth="1"/>
    <col min="16" max="16" width="10.26953125" customWidth="1"/>
    <col min="17" max="17" width="12" customWidth="1"/>
    <col min="18" max="18" width="20.26953125" style="12" customWidth="1"/>
    <col min="19" max="19" width="14.08984375" customWidth="1"/>
    <col min="20" max="20" width="12.7265625" customWidth="1"/>
    <col min="21" max="21" width="14.26953125" customWidth="1"/>
  </cols>
  <sheetData>
    <row r="1" spans="2:21" ht="42" customHeight="1" x14ac:dyDescent="0.6">
      <c r="B1" s="14" t="s">
        <v>40</v>
      </c>
      <c r="C1" s="4"/>
      <c r="D1" s="4"/>
      <c r="E1" s="4"/>
      <c r="F1" s="4"/>
      <c r="G1" s="4"/>
      <c r="H1" s="4"/>
      <c r="I1" s="4"/>
      <c r="L1" s="15" t="s">
        <v>41</v>
      </c>
      <c r="M1" s="5"/>
      <c r="N1" s="5"/>
      <c r="O1" s="5"/>
      <c r="P1" s="5"/>
      <c r="Q1" s="5"/>
      <c r="S1" s="36" t="s">
        <v>23</v>
      </c>
      <c r="T1" s="36" t="s">
        <v>32</v>
      </c>
      <c r="U1" s="32"/>
    </row>
    <row r="2" spans="2:21" ht="31" customHeight="1" x14ac:dyDescent="0.35">
      <c r="B2" s="6" t="s">
        <v>0</v>
      </c>
      <c r="C2" s="6" t="s">
        <v>1</v>
      </c>
      <c r="D2" s="6" t="s">
        <v>2</v>
      </c>
      <c r="E2" s="6" t="s">
        <v>3</v>
      </c>
      <c r="F2" s="7" t="s">
        <v>6</v>
      </c>
      <c r="G2" s="31" t="s">
        <v>12</v>
      </c>
      <c r="H2" s="31" t="s">
        <v>13</v>
      </c>
      <c r="I2" s="7" t="s">
        <v>14</v>
      </c>
      <c r="J2" s="7"/>
      <c r="L2" s="8" t="s">
        <v>0</v>
      </c>
      <c r="M2" s="8" t="s">
        <v>1</v>
      </c>
      <c r="N2" s="8" t="s">
        <v>3</v>
      </c>
      <c r="O2" s="9" t="s">
        <v>12</v>
      </c>
      <c r="P2" s="9" t="s">
        <v>13</v>
      </c>
      <c r="Q2" s="10" t="s">
        <v>14</v>
      </c>
      <c r="R2" s="10"/>
      <c r="S2" s="30" t="s">
        <v>21</v>
      </c>
      <c r="T2" s="33">
        <f>SUM(I:I)</f>
        <v>-28360</v>
      </c>
      <c r="U2" s="32"/>
    </row>
    <row r="3" spans="2:21" x14ac:dyDescent="0.35">
      <c r="B3" s="1">
        <v>44440</v>
      </c>
      <c r="C3" t="s">
        <v>36</v>
      </c>
      <c r="D3" t="s">
        <v>10</v>
      </c>
      <c r="E3" t="s">
        <v>44</v>
      </c>
      <c r="F3" t="s">
        <v>33</v>
      </c>
      <c r="G3" s="13">
        <v>-5</v>
      </c>
      <c r="H3">
        <v>52</v>
      </c>
      <c r="I3" s="13">
        <f t="shared" ref="I3:I8" si="0">G3*H3</f>
        <v>-260</v>
      </c>
      <c r="L3" s="1">
        <v>44197</v>
      </c>
      <c r="M3" t="s">
        <v>29</v>
      </c>
      <c r="N3" t="s">
        <v>30</v>
      </c>
      <c r="O3" s="13">
        <v>8000</v>
      </c>
      <c r="P3">
        <v>1.6</v>
      </c>
      <c r="Q3" s="13">
        <f>O3*P3</f>
        <v>12800</v>
      </c>
      <c r="S3" s="30" t="s">
        <v>22</v>
      </c>
      <c r="T3" s="13">
        <f>SUM(Q:Q)</f>
        <v>41000</v>
      </c>
      <c r="U3" s="13"/>
    </row>
    <row r="4" spans="2:21" x14ac:dyDescent="0.35">
      <c r="B4" s="1">
        <v>44440</v>
      </c>
      <c r="C4" t="s">
        <v>56</v>
      </c>
      <c r="D4" t="s">
        <v>11</v>
      </c>
      <c r="E4" t="s">
        <v>57</v>
      </c>
      <c r="F4" t="s">
        <v>35</v>
      </c>
      <c r="G4" s="13">
        <v>-200</v>
      </c>
      <c r="H4">
        <v>2</v>
      </c>
      <c r="I4" s="13">
        <f t="shared" si="0"/>
        <v>-400</v>
      </c>
      <c r="L4" s="1">
        <v>44652</v>
      </c>
      <c r="M4" t="s">
        <v>70</v>
      </c>
      <c r="N4" t="s">
        <v>71</v>
      </c>
      <c r="O4" s="13">
        <v>17000</v>
      </c>
      <c r="P4">
        <v>1.2</v>
      </c>
      <c r="Q4" s="13">
        <f>O4*P4</f>
        <v>20400</v>
      </c>
      <c r="S4" s="35" t="s">
        <v>37</v>
      </c>
      <c r="T4" s="34">
        <f>SUM(T2:T3)</f>
        <v>12640</v>
      </c>
    </row>
    <row r="5" spans="2:21" x14ac:dyDescent="0.35">
      <c r="B5" s="1">
        <v>44440</v>
      </c>
      <c r="C5" t="s">
        <v>58</v>
      </c>
      <c r="D5" t="s">
        <v>24</v>
      </c>
      <c r="E5" t="s">
        <v>77</v>
      </c>
      <c r="F5" t="s">
        <v>35</v>
      </c>
      <c r="G5" s="13">
        <v>-25</v>
      </c>
      <c r="H5">
        <v>12</v>
      </c>
      <c r="I5" s="13">
        <f t="shared" si="0"/>
        <v>-300</v>
      </c>
      <c r="L5" s="1">
        <v>44197</v>
      </c>
      <c r="M5" t="s">
        <v>28</v>
      </c>
      <c r="N5" t="s">
        <v>73</v>
      </c>
      <c r="O5" s="13">
        <v>300</v>
      </c>
      <c r="P5">
        <v>26</v>
      </c>
      <c r="Q5" s="13">
        <f>O5*P5</f>
        <v>7800</v>
      </c>
    </row>
    <row r="6" spans="2:21" x14ac:dyDescent="0.35">
      <c r="B6" s="1">
        <v>44440</v>
      </c>
      <c r="C6" t="s">
        <v>53</v>
      </c>
      <c r="D6" t="s">
        <v>11</v>
      </c>
      <c r="E6" t="s">
        <v>78</v>
      </c>
      <c r="F6" t="s">
        <v>33</v>
      </c>
      <c r="G6" s="13">
        <v>-50</v>
      </c>
      <c r="H6">
        <v>52</v>
      </c>
      <c r="I6" s="13">
        <f t="shared" si="0"/>
        <v>-2600</v>
      </c>
      <c r="L6" s="1"/>
      <c r="O6" s="13"/>
      <c r="Q6" s="13"/>
    </row>
    <row r="7" spans="2:21" x14ac:dyDescent="0.35">
      <c r="B7" s="1">
        <v>44440</v>
      </c>
      <c r="C7" t="s">
        <v>54</v>
      </c>
      <c r="D7" t="s">
        <v>24</v>
      </c>
      <c r="E7" t="s">
        <v>79</v>
      </c>
      <c r="F7" t="s">
        <v>34</v>
      </c>
      <c r="G7" s="13">
        <v>-1000</v>
      </c>
      <c r="H7">
        <v>12</v>
      </c>
      <c r="I7" s="13">
        <f t="shared" si="0"/>
        <v>-12000</v>
      </c>
      <c r="L7" s="1"/>
    </row>
    <row r="8" spans="2:21" x14ac:dyDescent="0.35">
      <c r="B8" s="1">
        <v>44440</v>
      </c>
      <c r="C8" t="s">
        <v>30</v>
      </c>
      <c r="D8" t="s">
        <v>31</v>
      </c>
      <c r="E8" t="s">
        <v>80</v>
      </c>
      <c r="F8" t="s">
        <v>34</v>
      </c>
      <c r="G8" s="13">
        <v>-8000</v>
      </c>
      <c r="H8">
        <v>1.6</v>
      </c>
      <c r="I8" s="13">
        <f t="shared" si="0"/>
        <v>-12800</v>
      </c>
      <c r="L8" s="1"/>
    </row>
    <row r="9" spans="2:21" x14ac:dyDescent="0.35">
      <c r="B9" s="1"/>
      <c r="G9" s="13"/>
      <c r="I9" s="13"/>
      <c r="L9" s="1"/>
    </row>
    <row r="10" spans="2:21" x14ac:dyDescent="0.35">
      <c r="B10" s="1"/>
      <c r="G10" s="13"/>
      <c r="I10" s="13"/>
      <c r="L10" s="1"/>
    </row>
    <row r="11" spans="2:21" x14ac:dyDescent="0.35">
      <c r="B11" s="1"/>
      <c r="G11" s="13"/>
      <c r="I11" s="13"/>
      <c r="L11" s="1"/>
    </row>
    <row r="12" spans="2:21" x14ac:dyDescent="0.35">
      <c r="B12" s="1"/>
      <c r="G12" s="13"/>
      <c r="I12" s="13"/>
      <c r="L12" s="1"/>
    </row>
    <row r="13" spans="2:21" x14ac:dyDescent="0.35">
      <c r="B13" s="1"/>
      <c r="G13" s="13"/>
      <c r="I13" s="13"/>
      <c r="L13" s="1"/>
    </row>
    <row r="14" spans="2:21" x14ac:dyDescent="0.35">
      <c r="B14" s="1"/>
      <c r="G14" s="13"/>
      <c r="I14" s="13"/>
    </row>
    <row r="15" spans="2:21" x14ac:dyDescent="0.35">
      <c r="B15" s="1"/>
      <c r="G15" s="13"/>
      <c r="I15" s="13"/>
    </row>
    <row r="16" spans="2:21" x14ac:dyDescent="0.35">
      <c r="B16" s="1"/>
      <c r="G16" s="13"/>
      <c r="I16" s="13"/>
    </row>
    <row r="17" spans="2:2" x14ac:dyDescent="0.35">
      <c r="B17" s="1"/>
    </row>
    <row r="18" spans="2:2" x14ac:dyDescent="0.35">
      <c r="B18" s="1"/>
    </row>
    <row r="19" spans="2:2" x14ac:dyDescent="0.35">
      <c r="B19" s="1"/>
    </row>
    <row r="20" spans="2:2" x14ac:dyDescent="0.35">
      <c r="B20" s="1"/>
    </row>
    <row r="21" spans="2:2" x14ac:dyDescent="0.35">
      <c r="B21" s="1"/>
    </row>
    <row r="22" spans="2:2" x14ac:dyDescent="0.35">
      <c r="B22" s="1"/>
    </row>
    <row r="23" spans="2:2" x14ac:dyDescent="0.35">
      <c r="B23" s="1"/>
    </row>
    <row r="24" spans="2:2" x14ac:dyDescent="0.35">
      <c r="B24" s="1"/>
    </row>
    <row r="25" spans="2:2" x14ac:dyDescent="0.35">
      <c r="B25" s="1"/>
    </row>
    <row r="26" spans="2:2" x14ac:dyDescent="0.35">
      <c r="B26" s="1"/>
    </row>
    <row r="27" spans="2:2" x14ac:dyDescent="0.35">
      <c r="B27" s="1"/>
    </row>
    <row r="28" spans="2:2" x14ac:dyDescent="0.35">
      <c r="B28" s="1"/>
    </row>
    <row r="29" spans="2:2" x14ac:dyDescent="0.35">
      <c r="B29" s="1"/>
    </row>
    <row r="30" spans="2:2" x14ac:dyDescent="0.35">
      <c r="B30" s="1"/>
    </row>
    <row r="31" spans="2:2" x14ac:dyDescent="0.35">
      <c r="B31" s="1"/>
    </row>
    <row r="32" spans="2:2" x14ac:dyDescent="0.35">
      <c r="B32" s="1"/>
    </row>
    <row r="33" spans="2:2" x14ac:dyDescent="0.35">
      <c r="B33" s="1"/>
    </row>
    <row r="34" spans="2:2" x14ac:dyDescent="0.35">
      <c r="B34" s="1"/>
    </row>
    <row r="35" spans="2:2" x14ac:dyDescent="0.35">
      <c r="B35" s="1"/>
    </row>
    <row r="1048575" spans="12:12" x14ac:dyDescent="0.35">
      <c r="L1048575" s="1"/>
    </row>
  </sheetData>
  <sortState xmlns:xlrd2="http://schemas.microsoft.com/office/spreadsheetml/2017/richdata2" ref="C3:C7">
    <sortCondition ref="C3:C7"/>
  </sortState>
  <conditionalFormatting sqref="T2:T4">
    <cfRule type="cellIs" dxfId="3" priority="1" operator="lessThan">
      <formula>0</formula>
    </cfRule>
    <cfRule type="cellIs" dxfId="2" priority="2" operator="greater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autoFill="0" autoPict="0" macro="[0]!ShowExpenseForm">
                <anchor moveWithCells="1" sizeWithCells="1">
                  <from>
                    <xdr:col>9</xdr:col>
                    <xdr:colOff>342900</xdr:colOff>
                    <xdr:row>2</xdr:row>
                    <xdr:rowOff>127000</xdr:rowOff>
                  </from>
                  <to>
                    <xdr:col>9</xdr:col>
                    <xdr:colOff>1079500</xdr:colOff>
                    <xdr:row>6</xdr:row>
                    <xdr:rowOff>127000</xdr:rowOff>
                  </to>
                </anchor>
              </controlPr>
            </control>
          </mc:Choice>
        </mc:AlternateContent>
        <mc:AlternateContent xmlns:mc="http://schemas.openxmlformats.org/markup-compatibility/2006">
          <mc:Choice Requires="x14">
            <control shapeId="1031" r:id="rId5" name="Button 7">
              <controlPr defaultSize="0" print="0" autoFill="0" autoPict="0" macro="[0]!ClearExpenses">
                <anchor moveWithCells="1" sizeWithCells="1">
                  <from>
                    <xdr:col>9</xdr:col>
                    <xdr:colOff>349250</xdr:colOff>
                    <xdr:row>7</xdr:row>
                    <xdr:rowOff>44450</xdr:rowOff>
                  </from>
                  <to>
                    <xdr:col>9</xdr:col>
                    <xdr:colOff>1066800</xdr:colOff>
                    <xdr:row>9</xdr:row>
                    <xdr:rowOff>6350</xdr:rowOff>
                  </to>
                </anchor>
              </controlPr>
            </control>
          </mc:Choice>
        </mc:AlternateContent>
        <mc:AlternateContent xmlns:mc="http://schemas.openxmlformats.org/markup-compatibility/2006">
          <mc:Choice Requires="x14">
            <control shapeId="1033" r:id="rId6" name="Button 9">
              <controlPr defaultSize="0" print="0" autoFill="0" autoPict="0" macro="[0]!ShowIncomeForm">
                <anchor moveWithCells="1" sizeWithCells="1">
                  <from>
                    <xdr:col>17</xdr:col>
                    <xdr:colOff>323850</xdr:colOff>
                    <xdr:row>2</xdr:row>
                    <xdr:rowOff>114300</xdr:rowOff>
                  </from>
                  <to>
                    <xdr:col>17</xdr:col>
                    <xdr:colOff>1060450</xdr:colOff>
                    <xdr:row>6</xdr:row>
                    <xdr:rowOff>114300</xdr:rowOff>
                  </to>
                </anchor>
              </controlPr>
            </control>
          </mc:Choice>
        </mc:AlternateContent>
        <mc:AlternateContent xmlns:mc="http://schemas.openxmlformats.org/markup-compatibility/2006">
          <mc:Choice Requires="x14">
            <control shapeId="1034" r:id="rId7" name="Button 10">
              <controlPr defaultSize="0" print="0" autoFill="0" autoPict="0" macro="[0]!ClearIncomes">
                <anchor moveWithCells="1" sizeWithCells="1">
                  <from>
                    <xdr:col>17</xdr:col>
                    <xdr:colOff>330200</xdr:colOff>
                    <xdr:row>7</xdr:row>
                    <xdr:rowOff>25400</xdr:rowOff>
                  </from>
                  <to>
                    <xdr:col>17</xdr:col>
                    <xdr:colOff>1047750</xdr:colOff>
                    <xdr:row>8</xdr:row>
                    <xdr:rowOff>171450</xdr:rowOff>
                  </to>
                </anchor>
              </controlPr>
            </control>
          </mc:Choice>
        </mc:AlternateContent>
        <mc:AlternateContent xmlns:mc="http://schemas.openxmlformats.org/markup-compatibility/2006">
          <mc:Choice Requires="x14">
            <control shapeId="1035" r:id="rId8" name="Button 11">
              <controlPr defaultSize="0" print="0" autoFill="0" autoPict="0" macro="[0]!IncomeVsExpensesChart">
                <anchor moveWithCells="1" sizeWithCells="1">
                  <from>
                    <xdr:col>18</xdr:col>
                    <xdr:colOff>25400</xdr:colOff>
                    <xdr:row>4</xdr:row>
                    <xdr:rowOff>31750</xdr:rowOff>
                  </from>
                  <to>
                    <xdr:col>19</xdr:col>
                    <xdr:colOff>869950</xdr:colOff>
                    <xdr:row>6</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C3ECA-8BCD-4A66-B402-B666954774A0}">
  <sheetPr codeName="Sheet8"/>
  <dimension ref="A1:N1163"/>
  <sheetViews>
    <sheetView workbookViewId="0">
      <selection activeCell="E27" sqref="E27"/>
    </sheetView>
  </sheetViews>
  <sheetFormatPr defaultRowHeight="14.5" x14ac:dyDescent="0.35"/>
  <cols>
    <col min="1" max="1" width="6.81640625" style="4" customWidth="1"/>
    <col min="2" max="2" width="21.6328125" customWidth="1"/>
    <col min="3" max="3" width="24.36328125" customWidth="1"/>
    <col min="4" max="4" width="16.6328125" customWidth="1"/>
    <col min="5" max="5" width="27" customWidth="1"/>
    <col min="6" max="6" width="10.6328125" customWidth="1"/>
    <col min="7" max="7" width="11.81640625" customWidth="1"/>
    <col min="8" max="8" width="7.54296875" style="11" customWidth="1"/>
    <col min="9" max="9" width="5.6328125" style="5" customWidth="1"/>
    <col min="10" max="10" width="19.08984375" customWidth="1"/>
    <col min="11" max="11" width="12.81640625" customWidth="1"/>
    <col min="12" max="12" width="23.54296875" customWidth="1"/>
    <col min="13" max="13" width="11.453125" customWidth="1"/>
    <col min="14" max="14" width="5.7265625" style="12" customWidth="1"/>
    <col min="15" max="15" width="10.90625" customWidth="1"/>
  </cols>
  <sheetData>
    <row r="1" spans="2:13" ht="45.5" customHeight="1" x14ac:dyDescent="0.6">
      <c r="B1" s="14" t="s">
        <v>42</v>
      </c>
      <c r="C1" s="4"/>
      <c r="D1" s="4"/>
      <c r="E1" s="4"/>
      <c r="F1" s="4"/>
      <c r="G1" s="4"/>
      <c r="J1" s="50" t="s">
        <v>48</v>
      </c>
      <c r="K1" s="5"/>
      <c r="L1" s="5"/>
      <c r="M1" s="5"/>
    </row>
    <row r="2" spans="2:13" ht="29" x14ac:dyDescent="0.35">
      <c r="B2" s="6" t="s">
        <v>0</v>
      </c>
      <c r="C2" s="6" t="s">
        <v>1</v>
      </c>
      <c r="D2" s="6" t="s">
        <v>2</v>
      </c>
      <c r="E2" s="6" t="s">
        <v>3</v>
      </c>
      <c r="F2" s="7" t="s">
        <v>6</v>
      </c>
      <c r="G2" s="31" t="s">
        <v>43</v>
      </c>
      <c r="J2" s="8" t="s">
        <v>0</v>
      </c>
      <c r="K2" s="8" t="s">
        <v>1</v>
      </c>
      <c r="L2" s="8" t="s">
        <v>3</v>
      </c>
      <c r="M2" s="9" t="s">
        <v>12</v>
      </c>
    </row>
    <row r="3" spans="2:13" x14ac:dyDescent="0.35">
      <c r="B3" s="1">
        <v>44440</v>
      </c>
      <c r="C3" t="s">
        <v>36</v>
      </c>
      <c r="D3" t="s">
        <v>10</v>
      </c>
      <c r="E3" t="s">
        <v>44</v>
      </c>
      <c r="F3" t="s">
        <v>33</v>
      </c>
      <c r="G3" s="13">
        <v>5</v>
      </c>
      <c r="J3" s="1">
        <v>44197</v>
      </c>
      <c r="K3" t="s">
        <v>29</v>
      </c>
      <c r="L3" t="s">
        <v>30</v>
      </c>
      <c r="M3" s="13">
        <v>8000</v>
      </c>
    </row>
    <row r="4" spans="2:13" x14ac:dyDescent="0.35">
      <c r="B4" s="28">
        <v>44447.019236111111</v>
      </c>
      <c r="C4" t="s">
        <v>36</v>
      </c>
      <c r="D4" t="s">
        <v>10</v>
      </c>
      <c r="E4" t="s">
        <v>44</v>
      </c>
      <c r="F4" t="s">
        <v>33</v>
      </c>
      <c r="G4" s="13">
        <v>5</v>
      </c>
      <c r="J4" s="43">
        <v>44425.125</v>
      </c>
      <c r="K4" t="s">
        <v>29</v>
      </c>
      <c r="L4" t="s">
        <v>30</v>
      </c>
      <c r="M4" s="13">
        <v>8000</v>
      </c>
    </row>
    <row r="5" spans="2:13" x14ac:dyDescent="0.35">
      <c r="B5" s="28">
        <v>44454.038472222222</v>
      </c>
      <c r="C5" t="s">
        <v>36</v>
      </c>
      <c r="D5" t="s">
        <v>10</v>
      </c>
      <c r="E5" t="s">
        <v>44</v>
      </c>
      <c r="F5" t="s">
        <v>33</v>
      </c>
      <c r="G5" s="13">
        <v>5</v>
      </c>
      <c r="J5" s="43">
        <v>44653.25</v>
      </c>
      <c r="K5" t="s">
        <v>29</v>
      </c>
      <c r="L5" t="s">
        <v>30</v>
      </c>
      <c r="M5" s="13">
        <v>8000</v>
      </c>
    </row>
    <row r="6" spans="2:13" x14ac:dyDescent="0.35">
      <c r="B6" s="28">
        <v>44461.057708333334</v>
      </c>
      <c r="C6" t="s">
        <v>36</v>
      </c>
      <c r="D6" t="s">
        <v>10</v>
      </c>
      <c r="E6" t="s">
        <v>44</v>
      </c>
      <c r="F6" t="s">
        <v>33</v>
      </c>
      <c r="G6" s="13">
        <v>5</v>
      </c>
      <c r="J6" s="43">
        <v>44881.375</v>
      </c>
      <c r="K6" t="s">
        <v>29</v>
      </c>
      <c r="L6" t="s">
        <v>30</v>
      </c>
      <c r="M6" s="13">
        <v>8000</v>
      </c>
    </row>
    <row r="7" spans="2:13" x14ac:dyDescent="0.35">
      <c r="B7" s="28">
        <v>44468.076944444445</v>
      </c>
      <c r="C7" t="s">
        <v>36</v>
      </c>
      <c r="D7" t="s">
        <v>10</v>
      </c>
      <c r="E7" t="s">
        <v>44</v>
      </c>
      <c r="F7" t="s">
        <v>33</v>
      </c>
      <c r="G7" s="13">
        <v>5</v>
      </c>
      <c r="J7" s="43">
        <v>45109.5</v>
      </c>
      <c r="K7" t="s">
        <v>29</v>
      </c>
      <c r="L7" t="s">
        <v>30</v>
      </c>
      <c r="M7" s="13">
        <v>8000</v>
      </c>
    </row>
    <row r="8" spans="2:13" x14ac:dyDescent="0.35">
      <c r="B8" s="28">
        <v>44475.096180555556</v>
      </c>
      <c r="C8" t="s">
        <v>36</v>
      </c>
      <c r="D8" t="s">
        <v>10</v>
      </c>
      <c r="E8" t="s">
        <v>44</v>
      </c>
      <c r="F8" t="s">
        <v>33</v>
      </c>
      <c r="G8" s="13">
        <v>5</v>
      </c>
      <c r="J8" s="43">
        <v>45337.625</v>
      </c>
      <c r="K8" t="s">
        <v>29</v>
      </c>
      <c r="L8" t="s">
        <v>30</v>
      </c>
      <c r="M8" s="13">
        <v>8000</v>
      </c>
    </row>
    <row r="9" spans="2:13" x14ac:dyDescent="0.35">
      <c r="B9" s="28">
        <v>44482.115416666667</v>
      </c>
      <c r="C9" t="s">
        <v>36</v>
      </c>
      <c r="D9" t="s">
        <v>10</v>
      </c>
      <c r="E9" t="s">
        <v>44</v>
      </c>
      <c r="F9" t="s">
        <v>33</v>
      </c>
      <c r="G9" s="13">
        <v>5</v>
      </c>
      <c r="J9" s="43">
        <v>45565.75</v>
      </c>
      <c r="K9" t="s">
        <v>29</v>
      </c>
      <c r="L9" t="s">
        <v>30</v>
      </c>
      <c r="M9" s="13">
        <v>8000</v>
      </c>
    </row>
    <row r="10" spans="2:13" x14ac:dyDescent="0.35">
      <c r="B10" s="28">
        <v>44489.134652777779</v>
      </c>
      <c r="C10" t="s">
        <v>36</v>
      </c>
      <c r="D10" t="s">
        <v>10</v>
      </c>
      <c r="E10" t="s">
        <v>44</v>
      </c>
      <c r="F10" t="s">
        <v>33</v>
      </c>
      <c r="G10" s="13">
        <v>5</v>
      </c>
      <c r="J10" s="43">
        <v>45793.875</v>
      </c>
      <c r="K10" t="s">
        <v>29</v>
      </c>
      <c r="L10" t="s">
        <v>30</v>
      </c>
      <c r="M10" s="13">
        <v>8000</v>
      </c>
    </row>
    <row r="11" spans="2:13" x14ac:dyDescent="0.35">
      <c r="B11" s="28">
        <v>44496.15388888889</v>
      </c>
      <c r="C11" t="s">
        <v>36</v>
      </c>
      <c r="D11" t="s">
        <v>10</v>
      </c>
      <c r="E11" t="s">
        <v>44</v>
      </c>
      <c r="F11" t="s">
        <v>33</v>
      </c>
      <c r="G11" s="13">
        <v>5</v>
      </c>
      <c r="J11" s="1">
        <v>46022</v>
      </c>
      <c r="K11" t="s">
        <v>29</v>
      </c>
      <c r="L11" t="s">
        <v>30</v>
      </c>
      <c r="M11" s="13">
        <v>8000</v>
      </c>
    </row>
    <row r="12" spans="2:13" x14ac:dyDescent="0.35">
      <c r="B12" s="28">
        <v>44503.173125000001</v>
      </c>
      <c r="C12" t="s">
        <v>36</v>
      </c>
      <c r="D12" t="s">
        <v>10</v>
      </c>
      <c r="E12" t="s">
        <v>44</v>
      </c>
      <c r="F12" t="s">
        <v>33</v>
      </c>
      <c r="G12" s="13">
        <v>5</v>
      </c>
      <c r="J12" s="1">
        <v>44562</v>
      </c>
      <c r="K12" t="s">
        <v>70</v>
      </c>
      <c r="L12" t="s">
        <v>72</v>
      </c>
      <c r="M12" s="13">
        <v>17000</v>
      </c>
    </row>
    <row r="13" spans="2:13" x14ac:dyDescent="0.35">
      <c r="B13" s="28">
        <v>44510.192361111112</v>
      </c>
      <c r="C13" t="s">
        <v>36</v>
      </c>
      <c r="D13" t="s">
        <v>10</v>
      </c>
      <c r="E13" t="s">
        <v>44</v>
      </c>
      <c r="F13" t="s">
        <v>33</v>
      </c>
      <c r="G13" s="13">
        <v>5</v>
      </c>
      <c r="J13" s="43">
        <v>44866.166666666664</v>
      </c>
      <c r="K13" t="s">
        <v>70</v>
      </c>
      <c r="L13" t="s">
        <v>72</v>
      </c>
      <c r="M13" s="13">
        <v>17000</v>
      </c>
    </row>
    <row r="14" spans="2:13" x14ac:dyDescent="0.35">
      <c r="B14" s="28">
        <v>44517.211597222224</v>
      </c>
      <c r="C14" t="s">
        <v>36</v>
      </c>
      <c r="D14" t="s">
        <v>10</v>
      </c>
      <c r="E14" t="s">
        <v>44</v>
      </c>
      <c r="F14" t="s">
        <v>33</v>
      </c>
      <c r="G14" s="13">
        <v>5</v>
      </c>
      <c r="J14" s="43">
        <v>45170.333333333336</v>
      </c>
      <c r="K14" t="s">
        <v>70</v>
      </c>
      <c r="L14" t="s">
        <v>72</v>
      </c>
      <c r="M14" s="13">
        <v>17000</v>
      </c>
    </row>
    <row r="15" spans="2:13" x14ac:dyDescent="0.35">
      <c r="B15" s="28">
        <v>44524.230833333335</v>
      </c>
      <c r="C15" t="s">
        <v>36</v>
      </c>
      <c r="D15" t="s">
        <v>10</v>
      </c>
      <c r="E15" t="s">
        <v>44</v>
      </c>
      <c r="F15" t="s">
        <v>33</v>
      </c>
      <c r="G15" s="13">
        <v>5</v>
      </c>
      <c r="J15" s="43">
        <v>45474.5</v>
      </c>
      <c r="K15" t="s">
        <v>70</v>
      </c>
      <c r="L15" t="s">
        <v>72</v>
      </c>
      <c r="M15" s="13">
        <v>17000</v>
      </c>
    </row>
    <row r="16" spans="2:13" x14ac:dyDescent="0.35">
      <c r="B16" s="28">
        <v>44531.250069444446</v>
      </c>
      <c r="C16" t="s">
        <v>36</v>
      </c>
      <c r="D16" t="s">
        <v>10</v>
      </c>
      <c r="E16" t="s">
        <v>44</v>
      </c>
      <c r="F16" t="s">
        <v>33</v>
      </c>
      <c r="G16" s="13">
        <v>5</v>
      </c>
      <c r="J16" s="43">
        <v>45778.666666666664</v>
      </c>
      <c r="K16" t="s">
        <v>70</v>
      </c>
      <c r="L16" t="s">
        <v>72</v>
      </c>
      <c r="M16" s="13">
        <v>17000</v>
      </c>
    </row>
    <row r="17" spans="2:13" x14ac:dyDescent="0.35">
      <c r="B17" s="28">
        <v>44538.269305555557</v>
      </c>
      <c r="C17" t="s">
        <v>36</v>
      </c>
      <c r="D17" t="s">
        <v>10</v>
      </c>
      <c r="E17" t="s">
        <v>44</v>
      </c>
      <c r="F17" t="s">
        <v>33</v>
      </c>
      <c r="G17" s="13">
        <v>5</v>
      </c>
      <c r="J17" s="43">
        <v>46082.833333333336</v>
      </c>
      <c r="K17" t="s">
        <v>70</v>
      </c>
      <c r="L17" t="s">
        <v>72</v>
      </c>
      <c r="M17" s="13">
        <v>17000</v>
      </c>
    </row>
    <row r="18" spans="2:13" x14ac:dyDescent="0.35">
      <c r="B18" s="28">
        <v>44545.288541666669</v>
      </c>
      <c r="C18" t="s">
        <v>36</v>
      </c>
      <c r="D18" t="s">
        <v>10</v>
      </c>
      <c r="E18" t="s">
        <v>44</v>
      </c>
      <c r="F18" t="s">
        <v>33</v>
      </c>
      <c r="G18" s="13">
        <v>5</v>
      </c>
      <c r="J18" s="1">
        <v>44197</v>
      </c>
      <c r="K18" t="s">
        <v>28</v>
      </c>
      <c r="L18" t="s">
        <v>73</v>
      </c>
      <c r="M18" s="13">
        <v>300</v>
      </c>
    </row>
    <row r="19" spans="2:13" x14ac:dyDescent="0.35">
      <c r="B19" s="28">
        <v>44552.30777777778</v>
      </c>
      <c r="C19" t="s">
        <v>36</v>
      </c>
      <c r="D19" t="s">
        <v>10</v>
      </c>
      <c r="E19" t="s">
        <v>44</v>
      </c>
      <c r="F19" t="s">
        <v>33</v>
      </c>
      <c r="G19" s="13">
        <v>5</v>
      </c>
      <c r="J19" s="43">
        <v>44211.038460648146</v>
      </c>
      <c r="K19" t="s">
        <v>28</v>
      </c>
      <c r="L19" t="s">
        <v>73</v>
      </c>
      <c r="M19" s="13">
        <v>300</v>
      </c>
    </row>
    <row r="20" spans="2:13" x14ac:dyDescent="0.35">
      <c r="B20" s="43">
        <v>44559.327013888891</v>
      </c>
      <c r="C20" t="s">
        <v>36</v>
      </c>
      <c r="D20" t="s">
        <v>10</v>
      </c>
      <c r="E20" t="s">
        <v>44</v>
      </c>
      <c r="F20" t="s">
        <v>33</v>
      </c>
      <c r="G20" s="13">
        <v>5</v>
      </c>
      <c r="J20" s="43">
        <v>44225.076921296299</v>
      </c>
      <c r="K20" t="s">
        <v>28</v>
      </c>
      <c r="L20" t="s">
        <v>73</v>
      </c>
      <c r="M20" s="13">
        <v>300</v>
      </c>
    </row>
    <row r="21" spans="2:13" x14ac:dyDescent="0.35">
      <c r="B21" s="43">
        <v>44566.346250000002</v>
      </c>
      <c r="C21" t="s">
        <v>36</v>
      </c>
      <c r="D21" t="s">
        <v>10</v>
      </c>
      <c r="E21" t="s">
        <v>44</v>
      </c>
      <c r="F21" t="s">
        <v>33</v>
      </c>
      <c r="G21" s="13">
        <v>5</v>
      </c>
      <c r="J21" s="43">
        <v>44239.115381944444</v>
      </c>
      <c r="K21" t="s">
        <v>28</v>
      </c>
      <c r="L21" t="s">
        <v>73</v>
      </c>
      <c r="M21" s="13">
        <v>300</v>
      </c>
    </row>
    <row r="22" spans="2:13" x14ac:dyDescent="0.35">
      <c r="B22" s="43">
        <v>44573.365486111114</v>
      </c>
      <c r="C22" t="s">
        <v>36</v>
      </c>
      <c r="D22" t="s">
        <v>10</v>
      </c>
      <c r="E22" t="s">
        <v>44</v>
      </c>
      <c r="F22" t="s">
        <v>33</v>
      </c>
      <c r="G22" s="13">
        <v>5</v>
      </c>
      <c r="J22" s="43">
        <v>44253.15384259259</v>
      </c>
      <c r="K22" t="s">
        <v>28</v>
      </c>
      <c r="L22" t="s">
        <v>73</v>
      </c>
      <c r="M22" s="13">
        <v>300</v>
      </c>
    </row>
    <row r="23" spans="2:13" x14ac:dyDescent="0.35">
      <c r="B23" s="43">
        <v>44580.384722222225</v>
      </c>
      <c r="C23" t="s">
        <v>36</v>
      </c>
      <c r="D23" t="s">
        <v>10</v>
      </c>
      <c r="E23" t="s">
        <v>44</v>
      </c>
      <c r="F23" t="s">
        <v>33</v>
      </c>
      <c r="G23" s="13">
        <v>5</v>
      </c>
      <c r="J23" s="43">
        <v>44267.192303240743</v>
      </c>
      <c r="K23" t="s">
        <v>28</v>
      </c>
      <c r="L23" t="s">
        <v>73</v>
      </c>
      <c r="M23" s="13">
        <v>300</v>
      </c>
    </row>
    <row r="24" spans="2:13" x14ac:dyDescent="0.35">
      <c r="B24" s="43">
        <v>44587.403958333336</v>
      </c>
      <c r="C24" t="s">
        <v>36</v>
      </c>
      <c r="D24" t="s">
        <v>10</v>
      </c>
      <c r="E24" t="s">
        <v>44</v>
      </c>
      <c r="F24" t="s">
        <v>33</v>
      </c>
      <c r="G24" s="13">
        <v>5</v>
      </c>
      <c r="J24" s="43">
        <v>44281.230763888889</v>
      </c>
      <c r="K24" t="s">
        <v>28</v>
      </c>
      <c r="L24" t="s">
        <v>73</v>
      </c>
      <c r="M24" s="13">
        <v>300</v>
      </c>
    </row>
    <row r="25" spans="2:13" x14ac:dyDescent="0.35">
      <c r="B25" s="43">
        <v>44594.423194444447</v>
      </c>
      <c r="C25" t="s">
        <v>36</v>
      </c>
      <c r="D25" t="s">
        <v>10</v>
      </c>
      <c r="E25" t="s">
        <v>44</v>
      </c>
      <c r="F25" t="s">
        <v>33</v>
      </c>
      <c r="G25" s="13">
        <v>5</v>
      </c>
      <c r="J25" s="43">
        <v>44295.269224537034</v>
      </c>
      <c r="K25" t="s">
        <v>28</v>
      </c>
      <c r="L25" t="s">
        <v>73</v>
      </c>
      <c r="M25" s="13">
        <v>300</v>
      </c>
    </row>
    <row r="26" spans="2:13" x14ac:dyDescent="0.35">
      <c r="B26" s="43">
        <v>44601.442430555559</v>
      </c>
      <c r="C26" t="s">
        <v>36</v>
      </c>
      <c r="D26" t="s">
        <v>10</v>
      </c>
      <c r="E26" t="s">
        <v>44</v>
      </c>
      <c r="F26" t="s">
        <v>33</v>
      </c>
      <c r="G26" s="13">
        <v>5</v>
      </c>
      <c r="J26" s="43">
        <v>44309.307685185187</v>
      </c>
      <c r="K26" t="s">
        <v>28</v>
      </c>
      <c r="L26" t="s">
        <v>73</v>
      </c>
      <c r="M26" s="13">
        <v>300</v>
      </c>
    </row>
    <row r="27" spans="2:13" x14ac:dyDescent="0.35">
      <c r="B27" s="43">
        <v>44608.46166666667</v>
      </c>
      <c r="C27" t="s">
        <v>36</v>
      </c>
      <c r="D27" t="s">
        <v>10</v>
      </c>
      <c r="E27" t="s">
        <v>44</v>
      </c>
      <c r="F27" t="s">
        <v>33</v>
      </c>
      <c r="G27" s="13">
        <v>5</v>
      </c>
      <c r="J27" s="43">
        <v>44323.346145833333</v>
      </c>
      <c r="K27" t="s">
        <v>28</v>
      </c>
      <c r="L27" t="s">
        <v>73</v>
      </c>
      <c r="M27" s="13">
        <v>300</v>
      </c>
    </row>
    <row r="28" spans="2:13" x14ac:dyDescent="0.35">
      <c r="B28" s="43">
        <v>44615.480902777781</v>
      </c>
      <c r="C28" t="s">
        <v>36</v>
      </c>
      <c r="D28" t="s">
        <v>10</v>
      </c>
      <c r="E28" t="s">
        <v>44</v>
      </c>
      <c r="F28" t="s">
        <v>33</v>
      </c>
      <c r="G28" s="13">
        <v>5</v>
      </c>
      <c r="J28" s="43">
        <v>44337.384606481479</v>
      </c>
      <c r="K28" t="s">
        <v>28</v>
      </c>
      <c r="L28" t="s">
        <v>73</v>
      </c>
      <c r="M28" s="13">
        <v>300</v>
      </c>
    </row>
    <row r="29" spans="2:13" x14ac:dyDescent="0.35">
      <c r="B29" s="43">
        <v>44622.500138888892</v>
      </c>
      <c r="C29" t="s">
        <v>36</v>
      </c>
      <c r="D29" t="s">
        <v>10</v>
      </c>
      <c r="E29" t="s">
        <v>44</v>
      </c>
      <c r="F29" t="s">
        <v>33</v>
      </c>
      <c r="G29" s="13">
        <v>5</v>
      </c>
      <c r="J29" s="43">
        <v>44351.423067129632</v>
      </c>
      <c r="K29" t="s">
        <v>28</v>
      </c>
      <c r="L29" t="s">
        <v>73</v>
      </c>
      <c r="M29" s="13">
        <v>300</v>
      </c>
    </row>
    <row r="30" spans="2:13" x14ac:dyDescent="0.35">
      <c r="B30" s="43">
        <v>44629.519375000003</v>
      </c>
      <c r="C30" t="s">
        <v>36</v>
      </c>
      <c r="D30" t="s">
        <v>10</v>
      </c>
      <c r="E30" t="s">
        <v>44</v>
      </c>
      <c r="F30" t="s">
        <v>33</v>
      </c>
      <c r="G30" s="13">
        <v>5</v>
      </c>
      <c r="J30" s="43">
        <v>44365.461527777778</v>
      </c>
      <c r="K30" t="s">
        <v>28</v>
      </c>
      <c r="L30" t="s">
        <v>73</v>
      </c>
      <c r="M30" s="13">
        <v>300</v>
      </c>
    </row>
    <row r="31" spans="2:13" x14ac:dyDescent="0.35">
      <c r="B31" s="43">
        <v>44636.538611111115</v>
      </c>
      <c r="C31" t="s">
        <v>36</v>
      </c>
      <c r="D31" t="s">
        <v>10</v>
      </c>
      <c r="E31" t="s">
        <v>44</v>
      </c>
      <c r="F31" t="s">
        <v>33</v>
      </c>
      <c r="G31" s="13">
        <v>5</v>
      </c>
      <c r="J31" s="43">
        <v>44379.499988425923</v>
      </c>
      <c r="K31" t="s">
        <v>28</v>
      </c>
      <c r="L31" t="s">
        <v>73</v>
      </c>
      <c r="M31" s="13">
        <v>300</v>
      </c>
    </row>
    <row r="32" spans="2:13" x14ac:dyDescent="0.35">
      <c r="B32" s="43">
        <v>44643.557847222219</v>
      </c>
      <c r="C32" t="s">
        <v>36</v>
      </c>
      <c r="D32" t="s">
        <v>10</v>
      </c>
      <c r="E32" t="s">
        <v>44</v>
      </c>
      <c r="F32" t="s">
        <v>33</v>
      </c>
      <c r="G32" s="13">
        <v>5</v>
      </c>
      <c r="J32" s="43">
        <v>44393.538449074076</v>
      </c>
      <c r="K32" t="s">
        <v>28</v>
      </c>
      <c r="L32" t="s">
        <v>73</v>
      </c>
      <c r="M32" s="13">
        <v>300</v>
      </c>
    </row>
    <row r="33" spans="2:13" x14ac:dyDescent="0.35">
      <c r="B33" s="43">
        <v>44650.57708333333</v>
      </c>
      <c r="C33" t="s">
        <v>36</v>
      </c>
      <c r="D33" t="s">
        <v>10</v>
      </c>
      <c r="E33" t="s">
        <v>44</v>
      </c>
      <c r="F33" t="s">
        <v>33</v>
      </c>
      <c r="G33" s="13">
        <v>5</v>
      </c>
      <c r="J33" s="43">
        <v>44407.576909722222</v>
      </c>
      <c r="K33" t="s">
        <v>28</v>
      </c>
      <c r="L33" t="s">
        <v>73</v>
      </c>
      <c r="M33" s="13">
        <v>300</v>
      </c>
    </row>
    <row r="34" spans="2:13" x14ac:dyDescent="0.35">
      <c r="B34" s="43">
        <v>44657.596319444441</v>
      </c>
      <c r="C34" t="s">
        <v>36</v>
      </c>
      <c r="D34" t="s">
        <v>10</v>
      </c>
      <c r="E34" t="s">
        <v>44</v>
      </c>
      <c r="F34" t="s">
        <v>33</v>
      </c>
      <c r="G34" s="13">
        <v>5</v>
      </c>
      <c r="J34" s="43">
        <v>44421.615370370368</v>
      </c>
      <c r="K34" t="s">
        <v>28</v>
      </c>
      <c r="L34" t="s">
        <v>73</v>
      </c>
      <c r="M34" s="13">
        <v>300</v>
      </c>
    </row>
    <row r="35" spans="2:13" x14ac:dyDescent="0.35">
      <c r="B35" s="43">
        <v>44664.615555555552</v>
      </c>
      <c r="C35" t="s">
        <v>36</v>
      </c>
      <c r="D35" t="s">
        <v>10</v>
      </c>
      <c r="E35" t="s">
        <v>44</v>
      </c>
      <c r="F35" t="s">
        <v>33</v>
      </c>
      <c r="G35" s="13">
        <v>5</v>
      </c>
      <c r="J35" s="43">
        <v>44435.653831018521</v>
      </c>
      <c r="K35" t="s">
        <v>28</v>
      </c>
      <c r="L35" t="s">
        <v>73</v>
      </c>
      <c r="M35" s="13">
        <v>300</v>
      </c>
    </row>
    <row r="36" spans="2:13" x14ac:dyDescent="0.35">
      <c r="B36" s="43">
        <v>44671.634791666664</v>
      </c>
      <c r="C36" t="s">
        <v>36</v>
      </c>
      <c r="D36" t="s">
        <v>10</v>
      </c>
      <c r="E36" t="s">
        <v>44</v>
      </c>
      <c r="F36" t="s">
        <v>33</v>
      </c>
      <c r="G36" s="13">
        <v>5</v>
      </c>
      <c r="J36" s="43">
        <v>44449.692291666666</v>
      </c>
      <c r="K36" t="s">
        <v>28</v>
      </c>
      <c r="L36" t="s">
        <v>73</v>
      </c>
      <c r="M36" s="13">
        <v>300</v>
      </c>
    </row>
    <row r="37" spans="2:13" x14ac:dyDescent="0.35">
      <c r="B37" s="43">
        <v>44678.654027777775</v>
      </c>
      <c r="C37" t="s">
        <v>36</v>
      </c>
      <c r="D37" t="s">
        <v>10</v>
      </c>
      <c r="E37" t="s">
        <v>44</v>
      </c>
      <c r="F37" t="s">
        <v>33</v>
      </c>
      <c r="G37" s="13">
        <v>5</v>
      </c>
      <c r="J37" s="43">
        <v>44463.730752314812</v>
      </c>
      <c r="K37" t="s">
        <v>28</v>
      </c>
      <c r="L37" t="s">
        <v>73</v>
      </c>
      <c r="M37" s="13">
        <v>300</v>
      </c>
    </row>
    <row r="38" spans="2:13" x14ac:dyDescent="0.35">
      <c r="B38" s="43">
        <v>44685.673263888886</v>
      </c>
      <c r="C38" t="s">
        <v>36</v>
      </c>
      <c r="D38" t="s">
        <v>10</v>
      </c>
      <c r="E38" t="s">
        <v>44</v>
      </c>
      <c r="F38" t="s">
        <v>33</v>
      </c>
      <c r="G38" s="13">
        <v>5</v>
      </c>
      <c r="J38" s="43">
        <v>44477.769212962965</v>
      </c>
      <c r="K38" t="s">
        <v>28</v>
      </c>
      <c r="L38" t="s">
        <v>73</v>
      </c>
      <c r="M38" s="13">
        <v>300</v>
      </c>
    </row>
    <row r="39" spans="2:13" x14ac:dyDescent="0.35">
      <c r="B39" s="43">
        <v>44692.692499999997</v>
      </c>
      <c r="C39" t="s">
        <v>36</v>
      </c>
      <c r="D39" t="s">
        <v>10</v>
      </c>
      <c r="E39" t="s">
        <v>44</v>
      </c>
      <c r="F39" t="s">
        <v>33</v>
      </c>
      <c r="G39" s="13">
        <v>5</v>
      </c>
      <c r="J39" s="43">
        <v>44491.807673611111</v>
      </c>
      <c r="K39" t="s">
        <v>28</v>
      </c>
      <c r="L39" t="s">
        <v>73</v>
      </c>
      <c r="M39" s="13">
        <v>300</v>
      </c>
    </row>
    <row r="40" spans="2:13" x14ac:dyDescent="0.35">
      <c r="B40" s="43">
        <v>44699.711736111109</v>
      </c>
      <c r="C40" t="s">
        <v>36</v>
      </c>
      <c r="D40" t="s">
        <v>10</v>
      </c>
      <c r="E40" t="s">
        <v>44</v>
      </c>
      <c r="F40" t="s">
        <v>33</v>
      </c>
      <c r="G40" s="13">
        <v>5</v>
      </c>
      <c r="J40" s="43">
        <v>44505.846134259256</v>
      </c>
      <c r="K40" t="s">
        <v>28</v>
      </c>
      <c r="L40" t="s">
        <v>73</v>
      </c>
      <c r="M40" s="13">
        <v>300</v>
      </c>
    </row>
    <row r="41" spans="2:13" x14ac:dyDescent="0.35">
      <c r="B41" s="43">
        <v>44706.73097222222</v>
      </c>
      <c r="C41" t="s">
        <v>36</v>
      </c>
      <c r="D41" t="s">
        <v>10</v>
      </c>
      <c r="E41" t="s">
        <v>44</v>
      </c>
      <c r="F41" t="s">
        <v>33</v>
      </c>
      <c r="G41" s="13">
        <v>5</v>
      </c>
      <c r="J41" s="43">
        <v>44519.884594907409</v>
      </c>
      <c r="K41" t="s">
        <v>28</v>
      </c>
      <c r="L41" t="s">
        <v>73</v>
      </c>
      <c r="M41" s="13">
        <v>300</v>
      </c>
    </row>
    <row r="42" spans="2:13" x14ac:dyDescent="0.35">
      <c r="B42" s="43">
        <v>44713.750208333331</v>
      </c>
      <c r="C42" t="s">
        <v>36</v>
      </c>
      <c r="D42" t="s">
        <v>10</v>
      </c>
      <c r="E42" t="s">
        <v>44</v>
      </c>
      <c r="F42" t="s">
        <v>33</v>
      </c>
      <c r="G42" s="13">
        <v>5</v>
      </c>
      <c r="J42" s="43">
        <v>44533.923055555555</v>
      </c>
      <c r="K42" t="s">
        <v>28</v>
      </c>
      <c r="L42" t="s">
        <v>73</v>
      </c>
      <c r="M42" s="13">
        <v>300</v>
      </c>
    </row>
    <row r="43" spans="2:13" x14ac:dyDescent="0.35">
      <c r="B43" s="43">
        <v>44720.769444444442</v>
      </c>
      <c r="C43" t="s">
        <v>36</v>
      </c>
      <c r="D43" t="s">
        <v>10</v>
      </c>
      <c r="E43" t="s">
        <v>44</v>
      </c>
      <c r="F43" t="s">
        <v>33</v>
      </c>
      <c r="G43" s="13">
        <v>5</v>
      </c>
      <c r="J43" s="43">
        <v>44547.961516203701</v>
      </c>
      <c r="K43" t="s">
        <v>28</v>
      </c>
      <c r="L43" t="s">
        <v>73</v>
      </c>
      <c r="M43" s="13">
        <v>300</v>
      </c>
    </row>
    <row r="44" spans="2:13" x14ac:dyDescent="0.35">
      <c r="B44" s="43">
        <v>44727.788680555554</v>
      </c>
      <c r="C44" t="s">
        <v>36</v>
      </c>
      <c r="D44" t="s">
        <v>10</v>
      </c>
      <c r="E44" t="s">
        <v>44</v>
      </c>
      <c r="F44" t="s">
        <v>33</v>
      </c>
      <c r="G44" s="13">
        <v>5</v>
      </c>
      <c r="J44" s="43">
        <v>44561.999976851854</v>
      </c>
      <c r="K44" t="s">
        <v>28</v>
      </c>
      <c r="L44" t="s">
        <v>73</v>
      </c>
      <c r="M44" s="13">
        <v>300</v>
      </c>
    </row>
    <row r="45" spans="2:13" x14ac:dyDescent="0.35">
      <c r="B45" s="43">
        <v>44734.807916666665</v>
      </c>
      <c r="C45" t="s">
        <v>36</v>
      </c>
      <c r="D45" t="s">
        <v>10</v>
      </c>
      <c r="E45" t="s">
        <v>44</v>
      </c>
      <c r="F45" t="s">
        <v>33</v>
      </c>
      <c r="G45" s="13">
        <v>5</v>
      </c>
      <c r="J45" s="43">
        <v>44576.038437499999</v>
      </c>
      <c r="K45" t="s">
        <v>28</v>
      </c>
      <c r="L45" t="s">
        <v>73</v>
      </c>
      <c r="M45" s="13">
        <v>300</v>
      </c>
    </row>
    <row r="46" spans="2:13" x14ac:dyDescent="0.35">
      <c r="B46" s="43">
        <v>44741.827152777776</v>
      </c>
      <c r="C46" t="s">
        <v>36</v>
      </c>
      <c r="D46" t="s">
        <v>10</v>
      </c>
      <c r="E46" t="s">
        <v>44</v>
      </c>
      <c r="F46" t="s">
        <v>33</v>
      </c>
      <c r="G46" s="13">
        <v>5</v>
      </c>
      <c r="J46" s="43">
        <v>44590.076898148145</v>
      </c>
      <c r="K46" t="s">
        <v>28</v>
      </c>
      <c r="L46" t="s">
        <v>73</v>
      </c>
      <c r="M46" s="13">
        <v>300</v>
      </c>
    </row>
    <row r="47" spans="2:13" x14ac:dyDescent="0.35">
      <c r="B47" s="43">
        <v>44748.846388888887</v>
      </c>
      <c r="C47" t="s">
        <v>36</v>
      </c>
      <c r="D47" t="s">
        <v>10</v>
      </c>
      <c r="E47" t="s">
        <v>44</v>
      </c>
      <c r="F47" t="s">
        <v>33</v>
      </c>
      <c r="G47" s="13">
        <v>5</v>
      </c>
      <c r="J47" s="43">
        <v>44604.115358796298</v>
      </c>
      <c r="K47" t="s">
        <v>28</v>
      </c>
      <c r="L47" t="s">
        <v>73</v>
      </c>
      <c r="M47" s="13">
        <v>300</v>
      </c>
    </row>
    <row r="48" spans="2:13" x14ac:dyDescent="0.35">
      <c r="B48" s="43">
        <v>44755.865624999999</v>
      </c>
      <c r="C48" t="s">
        <v>36</v>
      </c>
      <c r="D48" t="s">
        <v>10</v>
      </c>
      <c r="E48" t="s">
        <v>44</v>
      </c>
      <c r="F48" t="s">
        <v>33</v>
      </c>
      <c r="G48" s="13">
        <v>5</v>
      </c>
      <c r="J48" s="43">
        <v>44618.153819444444</v>
      </c>
      <c r="K48" t="s">
        <v>28</v>
      </c>
      <c r="L48" t="s">
        <v>73</v>
      </c>
      <c r="M48" s="13">
        <v>300</v>
      </c>
    </row>
    <row r="49" spans="2:13" x14ac:dyDescent="0.35">
      <c r="B49" s="43">
        <v>44762.88486111111</v>
      </c>
      <c r="C49" t="s">
        <v>36</v>
      </c>
      <c r="D49" t="s">
        <v>10</v>
      </c>
      <c r="E49" t="s">
        <v>44</v>
      </c>
      <c r="F49" t="s">
        <v>33</v>
      </c>
      <c r="G49" s="13">
        <v>5</v>
      </c>
      <c r="J49" s="43">
        <v>44632.192280092589</v>
      </c>
      <c r="K49" t="s">
        <v>28</v>
      </c>
      <c r="L49" t="s">
        <v>73</v>
      </c>
      <c r="M49" s="13">
        <v>300</v>
      </c>
    </row>
    <row r="50" spans="2:13" x14ac:dyDescent="0.35">
      <c r="B50" s="43">
        <v>44769.904097222221</v>
      </c>
      <c r="C50" t="s">
        <v>36</v>
      </c>
      <c r="D50" t="s">
        <v>10</v>
      </c>
      <c r="E50" t="s">
        <v>44</v>
      </c>
      <c r="F50" t="s">
        <v>33</v>
      </c>
      <c r="G50" s="13">
        <v>5</v>
      </c>
      <c r="J50" s="43">
        <v>44646.230740740742</v>
      </c>
      <c r="K50" t="s">
        <v>28</v>
      </c>
      <c r="L50" t="s">
        <v>73</v>
      </c>
      <c r="M50" s="13">
        <v>300</v>
      </c>
    </row>
    <row r="51" spans="2:13" x14ac:dyDescent="0.35">
      <c r="B51" s="43">
        <v>44776.923333333332</v>
      </c>
      <c r="C51" t="s">
        <v>36</v>
      </c>
      <c r="D51" t="s">
        <v>10</v>
      </c>
      <c r="E51" t="s">
        <v>44</v>
      </c>
      <c r="F51" t="s">
        <v>33</v>
      </c>
      <c r="G51" s="13">
        <v>5</v>
      </c>
      <c r="J51" s="43">
        <v>44660.269201388888</v>
      </c>
      <c r="K51" t="s">
        <v>28</v>
      </c>
      <c r="L51" t="s">
        <v>73</v>
      </c>
      <c r="M51" s="13">
        <v>300</v>
      </c>
    </row>
    <row r="52" spans="2:13" x14ac:dyDescent="0.35">
      <c r="B52" s="43">
        <v>44783.942569444444</v>
      </c>
      <c r="C52" t="s">
        <v>36</v>
      </c>
      <c r="D52" t="s">
        <v>10</v>
      </c>
      <c r="E52" t="s">
        <v>44</v>
      </c>
      <c r="F52" t="s">
        <v>33</v>
      </c>
      <c r="G52" s="13">
        <v>5</v>
      </c>
      <c r="J52" s="43">
        <v>44674.307662037034</v>
      </c>
      <c r="K52" t="s">
        <v>28</v>
      </c>
      <c r="L52" t="s">
        <v>73</v>
      </c>
      <c r="M52" s="13">
        <v>300</v>
      </c>
    </row>
    <row r="53" spans="2:13" x14ac:dyDescent="0.35">
      <c r="B53" s="43">
        <v>44790.961805555555</v>
      </c>
      <c r="C53" t="s">
        <v>36</v>
      </c>
      <c r="D53" t="s">
        <v>10</v>
      </c>
      <c r="E53" t="s">
        <v>44</v>
      </c>
      <c r="F53" t="s">
        <v>33</v>
      </c>
      <c r="G53" s="13">
        <v>5</v>
      </c>
      <c r="J53" s="43">
        <v>44688.346122685187</v>
      </c>
      <c r="K53" t="s">
        <v>28</v>
      </c>
      <c r="L53" t="s">
        <v>73</v>
      </c>
      <c r="M53" s="13">
        <v>300</v>
      </c>
    </row>
    <row r="54" spans="2:13" x14ac:dyDescent="0.35">
      <c r="B54" s="43">
        <v>44797.981041666666</v>
      </c>
      <c r="C54" t="s">
        <v>36</v>
      </c>
      <c r="D54" t="s">
        <v>10</v>
      </c>
      <c r="E54" t="s">
        <v>44</v>
      </c>
      <c r="F54" t="s">
        <v>33</v>
      </c>
      <c r="G54" s="13">
        <v>5</v>
      </c>
      <c r="J54" s="43">
        <v>44702.384583333333</v>
      </c>
      <c r="K54" t="s">
        <v>28</v>
      </c>
      <c r="L54" t="s">
        <v>73</v>
      </c>
      <c r="M54" s="13">
        <v>300</v>
      </c>
    </row>
    <row r="55" spans="2:13" x14ac:dyDescent="0.35">
      <c r="B55" s="43">
        <v>44805.000277777777</v>
      </c>
      <c r="C55" t="s">
        <v>36</v>
      </c>
      <c r="D55" t="s">
        <v>10</v>
      </c>
      <c r="E55" t="s">
        <v>44</v>
      </c>
      <c r="F55" t="s">
        <v>33</v>
      </c>
      <c r="G55" s="13">
        <v>5</v>
      </c>
      <c r="J55" s="43">
        <v>44716.423043981478</v>
      </c>
      <c r="K55" t="s">
        <v>28</v>
      </c>
      <c r="L55" t="s">
        <v>73</v>
      </c>
      <c r="M55" s="13">
        <v>300</v>
      </c>
    </row>
    <row r="56" spans="2:13" x14ac:dyDescent="0.35">
      <c r="B56" s="43">
        <v>44812.019513888888</v>
      </c>
      <c r="C56" t="s">
        <v>36</v>
      </c>
      <c r="D56" t="s">
        <v>10</v>
      </c>
      <c r="E56" t="s">
        <v>44</v>
      </c>
      <c r="F56" t="s">
        <v>33</v>
      </c>
      <c r="G56" s="13">
        <v>5</v>
      </c>
      <c r="J56" s="43">
        <v>44730.461504629631</v>
      </c>
      <c r="K56" t="s">
        <v>28</v>
      </c>
      <c r="L56" t="s">
        <v>73</v>
      </c>
      <c r="M56" s="13">
        <v>300</v>
      </c>
    </row>
    <row r="57" spans="2:13" x14ac:dyDescent="0.35">
      <c r="B57" s="43">
        <v>44819.03875</v>
      </c>
      <c r="C57" t="s">
        <v>36</v>
      </c>
      <c r="D57" t="s">
        <v>10</v>
      </c>
      <c r="E57" t="s">
        <v>44</v>
      </c>
      <c r="F57" t="s">
        <v>33</v>
      </c>
      <c r="G57" s="13">
        <v>5</v>
      </c>
      <c r="J57" s="43">
        <v>44744.499965277777</v>
      </c>
      <c r="K57" t="s">
        <v>28</v>
      </c>
      <c r="L57" t="s">
        <v>73</v>
      </c>
      <c r="M57" s="13">
        <v>300</v>
      </c>
    </row>
    <row r="58" spans="2:13" x14ac:dyDescent="0.35">
      <c r="B58" s="1">
        <v>44826.057986111111</v>
      </c>
      <c r="C58" t="s">
        <v>36</v>
      </c>
      <c r="D58" t="s">
        <v>10</v>
      </c>
      <c r="E58" t="s">
        <v>44</v>
      </c>
      <c r="F58" t="s">
        <v>33</v>
      </c>
      <c r="G58" s="13">
        <v>5</v>
      </c>
      <c r="J58" s="43">
        <v>44758.538425925923</v>
      </c>
      <c r="K58" t="s">
        <v>28</v>
      </c>
      <c r="L58" t="s">
        <v>73</v>
      </c>
      <c r="M58" s="13">
        <v>300</v>
      </c>
    </row>
    <row r="59" spans="2:13" x14ac:dyDescent="0.35">
      <c r="B59" s="43">
        <v>44833.077222222222</v>
      </c>
      <c r="C59" t="s">
        <v>36</v>
      </c>
      <c r="D59" t="s">
        <v>10</v>
      </c>
      <c r="E59" t="s">
        <v>44</v>
      </c>
      <c r="F59" t="s">
        <v>33</v>
      </c>
      <c r="G59" s="13">
        <v>5</v>
      </c>
      <c r="J59" s="43">
        <v>44772.576886574076</v>
      </c>
      <c r="K59" t="s">
        <v>28</v>
      </c>
      <c r="L59" t="s">
        <v>73</v>
      </c>
      <c r="M59" s="13">
        <v>300</v>
      </c>
    </row>
    <row r="60" spans="2:13" x14ac:dyDescent="0.35">
      <c r="B60" s="43">
        <v>44840.096458333333</v>
      </c>
      <c r="C60" t="s">
        <v>36</v>
      </c>
      <c r="D60" t="s">
        <v>10</v>
      </c>
      <c r="E60" t="s">
        <v>44</v>
      </c>
      <c r="F60" t="s">
        <v>33</v>
      </c>
      <c r="G60" s="13">
        <v>5</v>
      </c>
      <c r="J60" s="43">
        <v>44786.615347222221</v>
      </c>
      <c r="K60" t="s">
        <v>28</v>
      </c>
      <c r="L60" t="s">
        <v>73</v>
      </c>
      <c r="M60" s="13">
        <v>300</v>
      </c>
    </row>
    <row r="61" spans="2:13" x14ac:dyDescent="0.35">
      <c r="B61" s="43">
        <v>44847.115694444445</v>
      </c>
      <c r="C61" t="s">
        <v>36</v>
      </c>
      <c r="D61" t="s">
        <v>10</v>
      </c>
      <c r="E61" t="s">
        <v>44</v>
      </c>
      <c r="F61" t="s">
        <v>33</v>
      </c>
      <c r="G61" s="13">
        <v>5</v>
      </c>
      <c r="J61" s="43">
        <v>44800.653807870367</v>
      </c>
      <c r="K61" t="s">
        <v>28</v>
      </c>
      <c r="L61" t="s">
        <v>73</v>
      </c>
      <c r="M61" s="13">
        <v>300</v>
      </c>
    </row>
    <row r="62" spans="2:13" x14ac:dyDescent="0.35">
      <c r="B62" s="43">
        <v>44854.134930555556</v>
      </c>
      <c r="C62" t="s">
        <v>36</v>
      </c>
      <c r="D62" t="s">
        <v>10</v>
      </c>
      <c r="E62" t="s">
        <v>44</v>
      </c>
      <c r="F62" t="s">
        <v>33</v>
      </c>
      <c r="G62" s="13">
        <v>5</v>
      </c>
      <c r="J62" s="43">
        <v>44814.69226851852</v>
      </c>
      <c r="K62" t="s">
        <v>28</v>
      </c>
      <c r="L62" t="s">
        <v>73</v>
      </c>
      <c r="M62" s="13">
        <v>300</v>
      </c>
    </row>
    <row r="63" spans="2:13" x14ac:dyDescent="0.35">
      <c r="B63" s="43">
        <v>44861.154166666667</v>
      </c>
      <c r="C63" t="s">
        <v>36</v>
      </c>
      <c r="D63" t="s">
        <v>10</v>
      </c>
      <c r="E63" t="s">
        <v>44</v>
      </c>
      <c r="F63" t="s">
        <v>33</v>
      </c>
      <c r="G63" s="13">
        <v>5</v>
      </c>
      <c r="J63" s="43">
        <v>44828.730729166666</v>
      </c>
      <c r="K63" t="s">
        <v>28</v>
      </c>
      <c r="L63" t="s">
        <v>73</v>
      </c>
      <c r="M63" s="13">
        <v>300</v>
      </c>
    </row>
    <row r="64" spans="2:13" x14ac:dyDescent="0.35">
      <c r="B64" s="43">
        <v>44868.173402777778</v>
      </c>
      <c r="C64" t="s">
        <v>36</v>
      </c>
      <c r="D64" t="s">
        <v>10</v>
      </c>
      <c r="E64" t="s">
        <v>44</v>
      </c>
      <c r="F64" t="s">
        <v>33</v>
      </c>
      <c r="G64" s="13">
        <v>5</v>
      </c>
      <c r="J64" s="43">
        <v>44842.769189814811</v>
      </c>
      <c r="K64" t="s">
        <v>28</v>
      </c>
      <c r="L64" t="s">
        <v>73</v>
      </c>
      <c r="M64" s="13">
        <v>300</v>
      </c>
    </row>
    <row r="65" spans="2:13" x14ac:dyDescent="0.35">
      <c r="B65" s="43">
        <v>44875.19263888889</v>
      </c>
      <c r="C65" t="s">
        <v>36</v>
      </c>
      <c r="D65" t="s">
        <v>10</v>
      </c>
      <c r="E65" t="s">
        <v>44</v>
      </c>
      <c r="F65" t="s">
        <v>33</v>
      </c>
      <c r="G65" s="13">
        <v>5</v>
      </c>
      <c r="J65" s="43">
        <v>44856.807650462964</v>
      </c>
      <c r="K65" t="s">
        <v>28</v>
      </c>
      <c r="L65" t="s">
        <v>73</v>
      </c>
      <c r="M65" s="13">
        <v>300</v>
      </c>
    </row>
    <row r="66" spans="2:13" x14ac:dyDescent="0.35">
      <c r="B66" s="43">
        <v>44882.211875000001</v>
      </c>
      <c r="C66" t="s">
        <v>36</v>
      </c>
      <c r="D66" t="s">
        <v>10</v>
      </c>
      <c r="E66" t="s">
        <v>44</v>
      </c>
      <c r="F66" t="s">
        <v>33</v>
      </c>
      <c r="G66" s="13">
        <v>5</v>
      </c>
      <c r="J66" s="43">
        <v>44870.84611111111</v>
      </c>
      <c r="K66" t="s">
        <v>28</v>
      </c>
      <c r="L66" t="s">
        <v>73</v>
      </c>
      <c r="M66" s="13">
        <v>300</v>
      </c>
    </row>
    <row r="67" spans="2:13" x14ac:dyDescent="0.35">
      <c r="B67" s="43">
        <v>44889.231111111112</v>
      </c>
      <c r="C67" t="s">
        <v>36</v>
      </c>
      <c r="D67" t="s">
        <v>10</v>
      </c>
      <c r="E67" t="s">
        <v>44</v>
      </c>
      <c r="F67" t="s">
        <v>33</v>
      </c>
      <c r="G67" s="13">
        <v>5</v>
      </c>
      <c r="J67" s="43">
        <v>44884.884571759256</v>
      </c>
      <c r="K67" t="s">
        <v>28</v>
      </c>
      <c r="L67" t="s">
        <v>73</v>
      </c>
      <c r="M67" s="13">
        <v>300</v>
      </c>
    </row>
    <row r="68" spans="2:13" x14ac:dyDescent="0.35">
      <c r="B68" s="43">
        <v>44896.250347222223</v>
      </c>
      <c r="C68" t="s">
        <v>36</v>
      </c>
      <c r="D68" t="s">
        <v>10</v>
      </c>
      <c r="E68" t="s">
        <v>44</v>
      </c>
      <c r="F68" t="s">
        <v>33</v>
      </c>
      <c r="G68" s="13">
        <v>5</v>
      </c>
      <c r="J68" s="55">
        <v>44898.923032407409</v>
      </c>
      <c r="K68" t="s">
        <v>28</v>
      </c>
      <c r="L68" t="s">
        <v>73</v>
      </c>
      <c r="M68" s="13">
        <v>300</v>
      </c>
    </row>
    <row r="69" spans="2:13" x14ac:dyDescent="0.35">
      <c r="B69" s="43">
        <v>44903.269583333335</v>
      </c>
      <c r="C69" t="s">
        <v>36</v>
      </c>
      <c r="D69" t="s">
        <v>10</v>
      </c>
      <c r="E69" t="s">
        <v>44</v>
      </c>
      <c r="F69" t="s">
        <v>33</v>
      </c>
      <c r="G69" s="13">
        <v>5</v>
      </c>
      <c r="J69" s="43">
        <v>44912.961493055554</v>
      </c>
      <c r="K69" t="s">
        <v>28</v>
      </c>
      <c r="L69" t="s">
        <v>73</v>
      </c>
      <c r="M69" s="13">
        <v>300</v>
      </c>
    </row>
    <row r="70" spans="2:13" x14ac:dyDescent="0.35">
      <c r="B70" s="43">
        <v>44910.288819444446</v>
      </c>
      <c r="C70" t="s">
        <v>36</v>
      </c>
      <c r="D70" t="s">
        <v>10</v>
      </c>
      <c r="E70" t="s">
        <v>44</v>
      </c>
      <c r="F70" t="s">
        <v>33</v>
      </c>
      <c r="G70" s="13">
        <v>5</v>
      </c>
      <c r="J70" s="43">
        <v>44926.9999537037</v>
      </c>
      <c r="K70" t="s">
        <v>28</v>
      </c>
      <c r="L70" t="s">
        <v>73</v>
      </c>
      <c r="M70" s="13">
        <v>300</v>
      </c>
    </row>
    <row r="71" spans="2:13" x14ac:dyDescent="0.35">
      <c r="B71" s="43">
        <v>44917.308055555557</v>
      </c>
      <c r="C71" t="s">
        <v>36</v>
      </c>
      <c r="D71" t="s">
        <v>10</v>
      </c>
      <c r="E71" t="s">
        <v>44</v>
      </c>
      <c r="F71" t="s">
        <v>33</v>
      </c>
      <c r="G71" s="13">
        <v>5</v>
      </c>
      <c r="J71" s="43">
        <v>44941.038414351853</v>
      </c>
      <c r="K71" t="s">
        <v>28</v>
      </c>
      <c r="L71" t="s">
        <v>73</v>
      </c>
      <c r="M71" s="13">
        <v>300</v>
      </c>
    </row>
    <row r="72" spans="2:13" x14ac:dyDescent="0.35">
      <c r="B72" s="43">
        <v>44924.327291666668</v>
      </c>
      <c r="C72" t="s">
        <v>36</v>
      </c>
      <c r="D72" t="s">
        <v>10</v>
      </c>
      <c r="E72" t="s">
        <v>44</v>
      </c>
      <c r="F72" t="s">
        <v>33</v>
      </c>
      <c r="G72" s="13">
        <v>5</v>
      </c>
      <c r="J72" s="43">
        <v>44955.076874999999</v>
      </c>
      <c r="K72" t="s">
        <v>28</v>
      </c>
      <c r="L72" t="s">
        <v>73</v>
      </c>
      <c r="M72" s="13">
        <v>300</v>
      </c>
    </row>
    <row r="73" spans="2:13" x14ac:dyDescent="0.35">
      <c r="B73" s="43">
        <v>44931.34652777778</v>
      </c>
      <c r="C73" t="s">
        <v>36</v>
      </c>
      <c r="D73" t="s">
        <v>10</v>
      </c>
      <c r="E73" t="s">
        <v>44</v>
      </c>
      <c r="F73" t="s">
        <v>33</v>
      </c>
      <c r="G73" s="13">
        <v>5</v>
      </c>
      <c r="J73" s="43">
        <v>44969.115335648145</v>
      </c>
      <c r="K73" t="s">
        <v>28</v>
      </c>
      <c r="L73" t="s">
        <v>73</v>
      </c>
      <c r="M73" s="13">
        <v>300</v>
      </c>
    </row>
    <row r="74" spans="2:13" x14ac:dyDescent="0.35">
      <c r="B74" s="43">
        <v>44938.365763888891</v>
      </c>
      <c r="C74" t="s">
        <v>36</v>
      </c>
      <c r="D74" t="s">
        <v>10</v>
      </c>
      <c r="E74" t="s">
        <v>44</v>
      </c>
      <c r="F74" t="s">
        <v>33</v>
      </c>
      <c r="G74" s="13">
        <v>5</v>
      </c>
      <c r="J74" s="43">
        <v>44983.153796296298</v>
      </c>
      <c r="K74" t="s">
        <v>28</v>
      </c>
      <c r="L74" t="s">
        <v>73</v>
      </c>
      <c r="M74" s="13">
        <v>300</v>
      </c>
    </row>
    <row r="75" spans="2:13" x14ac:dyDescent="0.35">
      <c r="B75" s="43">
        <v>44945.385000000002</v>
      </c>
      <c r="C75" t="s">
        <v>36</v>
      </c>
      <c r="D75" t="s">
        <v>10</v>
      </c>
      <c r="E75" t="s">
        <v>44</v>
      </c>
      <c r="F75" t="s">
        <v>33</v>
      </c>
      <c r="G75" s="13">
        <v>5</v>
      </c>
      <c r="J75" s="43">
        <v>44997.192256944443</v>
      </c>
      <c r="K75" t="s">
        <v>28</v>
      </c>
      <c r="L75" t="s">
        <v>73</v>
      </c>
      <c r="M75" s="13">
        <v>300</v>
      </c>
    </row>
    <row r="76" spans="2:13" x14ac:dyDescent="0.35">
      <c r="B76" s="43">
        <v>44952.404236111113</v>
      </c>
      <c r="C76" t="s">
        <v>36</v>
      </c>
      <c r="D76" t="s">
        <v>10</v>
      </c>
      <c r="E76" t="s">
        <v>44</v>
      </c>
      <c r="F76" t="s">
        <v>33</v>
      </c>
      <c r="G76" s="13">
        <v>5</v>
      </c>
      <c r="J76" s="43">
        <v>45011.230717592596</v>
      </c>
      <c r="K76" t="s">
        <v>28</v>
      </c>
      <c r="L76" t="s">
        <v>73</v>
      </c>
      <c r="M76" s="13">
        <v>300</v>
      </c>
    </row>
    <row r="77" spans="2:13" x14ac:dyDescent="0.35">
      <c r="B77" s="43">
        <v>44959.423472222225</v>
      </c>
      <c r="C77" t="s">
        <v>36</v>
      </c>
      <c r="D77" t="s">
        <v>10</v>
      </c>
      <c r="E77" t="s">
        <v>44</v>
      </c>
      <c r="F77" t="s">
        <v>33</v>
      </c>
      <c r="G77" s="13">
        <v>5</v>
      </c>
      <c r="J77" s="43">
        <v>45025.269178240742</v>
      </c>
      <c r="K77" t="s">
        <v>28</v>
      </c>
      <c r="L77" t="s">
        <v>73</v>
      </c>
      <c r="M77" s="13">
        <v>300</v>
      </c>
    </row>
    <row r="78" spans="2:13" x14ac:dyDescent="0.35">
      <c r="B78" s="43">
        <v>44966.442708333336</v>
      </c>
      <c r="C78" t="s">
        <v>36</v>
      </c>
      <c r="D78" t="s">
        <v>10</v>
      </c>
      <c r="E78" t="s">
        <v>44</v>
      </c>
      <c r="F78" t="s">
        <v>33</v>
      </c>
      <c r="G78" s="13">
        <v>5</v>
      </c>
      <c r="J78" s="43">
        <v>45039.307638888888</v>
      </c>
      <c r="K78" t="s">
        <v>28</v>
      </c>
      <c r="L78" t="s">
        <v>73</v>
      </c>
      <c r="M78" s="13">
        <v>300</v>
      </c>
    </row>
    <row r="79" spans="2:13" x14ac:dyDescent="0.35">
      <c r="B79" s="43">
        <v>44973.461944444447</v>
      </c>
      <c r="C79" t="s">
        <v>36</v>
      </c>
      <c r="D79" t="s">
        <v>10</v>
      </c>
      <c r="E79" t="s">
        <v>44</v>
      </c>
      <c r="F79" t="s">
        <v>33</v>
      </c>
      <c r="G79" s="13">
        <v>5</v>
      </c>
      <c r="J79" s="43">
        <v>45053.346099537041</v>
      </c>
      <c r="K79" t="s">
        <v>28</v>
      </c>
      <c r="L79" t="s">
        <v>73</v>
      </c>
      <c r="M79" s="13">
        <v>300</v>
      </c>
    </row>
    <row r="80" spans="2:13" x14ac:dyDescent="0.35">
      <c r="B80" s="43">
        <v>44980.481180555558</v>
      </c>
      <c r="C80" t="s">
        <v>36</v>
      </c>
      <c r="D80" t="s">
        <v>10</v>
      </c>
      <c r="E80" t="s">
        <v>44</v>
      </c>
      <c r="F80" t="s">
        <v>33</v>
      </c>
      <c r="G80" s="13">
        <v>5</v>
      </c>
      <c r="J80" s="28">
        <v>45067.384560185186</v>
      </c>
      <c r="K80" t="s">
        <v>28</v>
      </c>
      <c r="L80" t="s">
        <v>73</v>
      </c>
      <c r="M80" s="13">
        <v>300</v>
      </c>
    </row>
    <row r="81" spans="2:13" x14ac:dyDescent="0.35">
      <c r="B81" s="43">
        <v>44987.500416666669</v>
      </c>
      <c r="C81" t="s">
        <v>36</v>
      </c>
      <c r="D81" t="s">
        <v>10</v>
      </c>
      <c r="E81" t="s">
        <v>44</v>
      </c>
      <c r="F81" t="s">
        <v>33</v>
      </c>
      <c r="G81" s="13">
        <v>5</v>
      </c>
      <c r="J81" s="43">
        <v>45081.423020833332</v>
      </c>
      <c r="K81" t="s">
        <v>28</v>
      </c>
      <c r="L81" t="s">
        <v>73</v>
      </c>
      <c r="M81" s="13">
        <v>300</v>
      </c>
    </row>
    <row r="82" spans="2:13" x14ac:dyDescent="0.35">
      <c r="B82" s="43">
        <v>44994.519652777781</v>
      </c>
      <c r="C82" t="s">
        <v>36</v>
      </c>
      <c r="D82" t="s">
        <v>10</v>
      </c>
      <c r="E82" t="s">
        <v>44</v>
      </c>
      <c r="F82" t="s">
        <v>33</v>
      </c>
      <c r="G82" s="13">
        <v>5</v>
      </c>
      <c r="J82" s="43">
        <v>45095.461481481485</v>
      </c>
      <c r="K82" t="s">
        <v>28</v>
      </c>
      <c r="L82" t="s">
        <v>73</v>
      </c>
      <c r="M82" s="13">
        <v>300</v>
      </c>
    </row>
    <row r="83" spans="2:13" x14ac:dyDescent="0.35">
      <c r="B83" s="43">
        <v>45001.538888888892</v>
      </c>
      <c r="C83" t="s">
        <v>36</v>
      </c>
      <c r="D83" t="s">
        <v>10</v>
      </c>
      <c r="E83" t="s">
        <v>44</v>
      </c>
      <c r="F83" t="s">
        <v>33</v>
      </c>
      <c r="G83" s="13">
        <v>5</v>
      </c>
      <c r="J83" s="43">
        <v>45109.499942129631</v>
      </c>
      <c r="K83" t="s">
        <v>28</v>
      </c>
      <c r="L83" t="s">
        <v>73</v>
      </c>
      <c r="M83" s="13">
        <v>300</v>
      </c>
    </row>
    <row r="84" spans="2:13" x14ac:dyDescent="0.35">
      <c r="B84" s="43">
        <v>45008.558125000003</v>
      </c>
      <c r="C84" t="s">
        <v>36</v>
      </c>
      <c r="D84" t="s">
        <v>10</v>
      </c>
      <c r="E84" t="s">
        <v>44</v>
      </c>
      <c r="F84" t="s">
        <v>33</v>
      </c>
      <c r="G84" s="13">
        <v>5</v>
      </c>
      <c r="J84" s="43">
        <v>45123.538402777776</v>
      </c>
      <c r="K84" t="s">
        <v>28</v>
      </c>
      <c r="L84" t="s">
        <v>73</v>
      </c>
      <c r="M84" s="13">
        <v>300</v>
      </c>
    </row>
    <row r="85" spans="2:13" x14ac:dyDescent="0.35">
      <c r="B85" s="43">
        <v>45015.577361111114</v>
      </c>
      <c r="C85" t="s">
        <v>36</v>
      </c>
      <c r="D85" t="s">
        <v>10</v>
      </c>
      <c r="E85" t="s">
        <v>44</v>
      </c>
      <c r="F85" t="s">
        <v>33</v>
      </c>
      <c r="G85" s="13">
        <v>5</v>
      </c>
      <c r="J85" s="43">
        <v>45137.576863425929</v>
      </c>
      <c r="K85" t="s">
        <v>28</v>
      </c>
      <c r="L85" t="s">
        <v>73</v>
      </c>
      <c r="M85" s="13">
        <v>300</v>
      </c>
    </row>
    <row r="86" spans="2:13" x14ac:dyDescent="0.35">
      <c r="B86" s="43">
        <v>45022.596597222226</v>
      </c>
      <c r="C86" t="s">
        <v>36</v>
      </c>
      <c r="D86" t="s">
        <v>10</v>
      </c>
      <c r="E86" t="s">
        <v>44</v>
      </c>
      <c r="F86" t="s">
        <v>33</v>
      </c>
      <c r="G86" s="13">
        <v>5</v>
      </c>
      <c r="J86" s="43">
        <v>45151.615324074075</v>
      </c>
      <c r="K86" t="s">
        <v>28</v>
      </c>
      <c r="L86" t="s">
        <v>73</v>
      </c>
      <c r="M86" s="13">
        <v>300</v>
      </c>
    </row>
    <row r="87" spans="2:13" x14ac:dyDescent="0.35">
      <c r="B87" s="43">
        <v>45029.615833333337</v>
      </c>
      <c r="C87" t="s">
        <v>36</v>
      </c>
      <c r="D87" t="s">
        <v>10</v>
      </c>
      <c r="E87" t="s">
        <v>44</v>
      </c>
      <c r="F87" t="s">
        <v>33</v>
      </c>
      <c r="G87" s="13">
        <v>5</v>
      </c>
      <c r="J87" s="43">
        <v>45165.653784722221</v>
      </c>
      <c r="K87" t="s">
        <v>28</v>
      </c>
      <c r="L87" t="s">
        <v>73</v>
      </c>
      <c r="M87" s="13">
        <v>300</v>
      </c>
    </row>
    <row r="88" spans="2:13" x14ac:dyDescent="0.35">
      <c r="B88" s="43">
        <v>45036.635069444441</v>
      </c>
      <c r="C88" t="s">
        <v>36</v>
      </c>
      <c r="D88" t="s">
        <v>10</v>
      </c>
      <c r="E88" t="s">
        <v>44</v>
      </c>
      <c r="F88" t="s">
        <v>33</v>
      </c>
      <c r="G88" s="13">
        <v>5</v>
      </c>
      <c r="J88" s="43">
        <v>45179.692245370374</v>
      </c>
      <c r="K88" t="s">
        <v>28</v>
      </c>
      <c r="L88" t="s">
        <v>73</v>
      </c>
      <c r="M88" s="13">
        <v>300</v>
      </c>
    </row>
    <row r="89" spans="2:13" x14ac:dyDescent="0.35">
      <c r="B89" s="43">
        <v>45043.654305555552</v>
      </c>
      <c r="C89" t="s">
        <v>36</v>
      </c>
      <c r="D89" t="s">
        <v>10</v>
      </c>
      <c r="E89" t="s">
        <v>44</v>
      </c>
      <c r="F89" t="s">
        <v>33</v>
      </c>
      <c r="G89" s="13">
        <v>5</v>
      </c>
      <c r="J89" s="43">
        <v>45193.730706018519</v>
      </c>
      <c r="K89" t="s">
        <v>28</v>
      </c>
      <c r="L89" t="s">
        <v>73</v>
      </c>
      <c r="M89" s="13">
        <v>300</v>
      </c>
    </row>
    <row r="90" spans="2:13" x14ac:dyDescent="0.35">
      <c r="B90" s="43">
        <v>45050.673541666663</v>
      </c>
      <c r="C90" t="s">
        <v>36</v>
      </c>
      <c r="D90" t="s">
        <v>10</v>
      </c>
      <c r="E90" t="s">
        <v>44</v>
      </c>
      <c r="F90" t="s">
        <v>33</v>
      </c>
      <c r="G90" s="13">
        <v>5</v>
      </c>
      <c r="J90" s="43">
        <v>45207.769166666665</v>
      </c>
      <c r="K90" t="s">
        <v>28</v>
      </c>
      <c r="L90" t="s">
        <v>73</v>
      </c>
      <c r="M90" s="13">
        <v>300</v>
      </c>
    </row>
    <row r="91" spans="2:13" x14ac:dyDescent="0.35">
      <c r="B91" s="43">
        <v>45057.692777777775</v>
      </c>
      <c r="C91" t="s">
        <v>36</v>
      </c>
      <c r="D91" t="s">
        <v>10</v>
      </c>
      <c r="E91" t="s">
        <v>44</v>
      </c>
      <c r="F91" t="s">
        <v>33</v>
      </c>
      <c r="G91" s="13">
        <v>5</v>
      </c>
      <c r="J91" s="43">
        <v>45221.807627314818</v>
      </c>
      <c r="K91" t="s">
        <v>28</v>
      </c>
      <c r="L91" t="s">
        <v>73</v>
      </c>
      <c r="M91" s="13">
        <v>300</v>
      </c>
    </row>
    <row r="92" spans="2:13" x14ac:dyDescent="0.35">
      <c r="B92" s="43">
        <v>45064.712013888886</v>
      </c>
      <c r="C92" t="s">
        <v>36</v>
      </c>
      <c r="D92" t="s">
        <v>10</v>
      </c>
      <c r="E92" t="s">
        <v>44</v>
      </c>
      <c r="F92" t="s">
        <v>33</v>
      </c>
      <c r="G92" s="13">
        <v>5</v>
      </c>
      <c r="J92" s="28">
        <v>45235.846087962964</v>
      </c>
      <c r="K92" t="s">
        <v>28</v>
      </c>
      <c r="L92" t="s">
        <v>73</v>
      </c>
      <c r="M92" s="13">
        <v>300</v>
      </c>
    </row>
    <row r="93" spans="2:13" x14ac:dyDescent="0.35">
      <c r="B93" s="43">
        <v>45071.731249999997</v>
      </c>
      <c r="C93" t="s">
        <v>36</v>
      </c>
      <c r="D93" t="s">
        <v>10</v>
      </c>
      <c r="E93" t="s">
        <v>44</v>
      </c>
      <c r="F93" t="s">
        <v>33</v>
      </c>
      <c r="G93" s="13">
        <v>5</v>
      </c>
      <c r="J93" s="43">
        <v>45249.884548611109</v>
      </c>
      <c r="K93" t="s">
        <v>28</v>
      </c>
      <c r="L93" t="s">
        <v>73</v>
      </c>
      <c r="M93" s="13">
        <v>300</v>
      </c>
    </row>
    <row r="94" spans="2:13" x14ac:dyDescent="0.35">
      <c r="B94" s="43">
        <v>45078.750486111108</v>
      </c>
      <c r="C94" t="s">
        <v>36</v>
      </c>
      <c r="D94" t="s">
        <v>10</v>
      </c>
      <c r="E94" t="s">
        <v>44</v>
      </c>
      <c r="F94" t="s">
        <v>33</v>
      </c>
      <c r="G94" s="13">
        <v>5</v>
      </c>
      <c r="J94" s="43">
        <v>45263.923009259262</v>
      </c>
      <c r="K94" t="s">
        <v>28</v>
      </c>
      <c r="L94" t="s">
        <v>73</v>
      </c>
      <c r="M94" s="13">
        <v>300</v>
      </c>
    </row>
    <row r="95" spans="2:13" x14ac:dyDescent="0.35">
      <c r="B95" s="43">
        <v>45085.76972222222</v>
      </c>
      <c r="C95" t="s">
        <v>36</v>
      </c>
      <c r="D95" t="s">
        <v>10</v>
      </c>
      <c r="E95" t="s">
        <v>44</v>
      </c>
      <c r="F95" t="s">
        <v>33</v>
      </c>
      <c r="G95" s="13">
        <v>5</v>
      </c>
      <c r="J95" s="43">
        <v>45277.961469907408</v>
      </c>
      <c r="K95" t="s">
        <v>28</v>
      </c>
      <c r="L95" t="s">
        <v>73</v>
      </c>
      <c r="M95" s="13">
        <v>300</v>
      </c>
    </row>
    <row r="96" spans="2:13" x14ac:dyDescent="0.35">
      <c r="B96" s="43">
        <v>45092.788958333331</v>
      </c>
      <c r="C96" t="s">
        <v>36</v>
      </c>
      <c r="D96" t="s">
        <v>10</v>
      </c>
      <c r="E96" t="s">
        <v>44</v>
      </c>
      <c r="F96" t="s">
        <v>33</v>
      </c>
      <c r="G96" s="13">
        <v>5</v>
      </c>
      <c r="J96" s="43">
        <v>45291.999930555554</v>
      </c>
      <c r="K96" t="s">
        <v>28</v>
      </c>
      <c r="L96" t="s">
        <v>73</v>
      </c>
      <c r="M96" s="13">
        <v>300</v>
      </c>
    </row>
    <row r="97" spans="2:13" x14ac:dyDescent="0.35">
      <c r="B97" s="43">
        <v>45099.808194444442</v>
      </c>
      <c r="C97" t="s">
        <v>36</v>
      </c>
      <c r="D97" t="s">
        <v>10</v>
      </c>
      <c r="E97" t="s">
        <v>44</v>
      </c>
      <c r="F97" t="s">
        <v>33</v>
      </c>
      <c r="G97" s="13">
        <v>5</v>
      </c>
      <c r="J97" s="43">
        <v>45306.038391203707</v>
      </c>
      <c r="K97" t="s">
        <v>28</v>
      </c>
      <c r="L97" t="s">
        <v>73</v>
      </c>
      <c r="M97" s="13">
        <v>300</v>
      </c>
    </row>
    <row r="98" spans="2:13" x14ac:dyDescent="0.35">
      <c r="B98" s="43">
        <v>45106.827430555553</v>
      </c>
      <c r="C98" t="s">
        <v>36</v>
      </c>
      <c r="D98" t="s">
        <v>10</v>
      </c>
      <c r="E98" t="s">
        <v>44</v>
      </c>
      <c r="F98" t="s">
        <v>33</v>
      </c>
      <c r="G98" s="13">
        <v>5</v>
      </c>
      <c r="J98" s="43">
        <v>45320.076851851853</v>
      </c>
      <c r="K98" t="s">
        <v>28</v>
      </c>
      <c r="L98" t="s">
        <v>73</v>
      </c>
      <c r="M98" s="13">
        <v>300</v>
      </c>
    </row>
    <row r="99" spans="2:13" x14ac:dyDescent="0.35">
      <c r="B99" s="43">
        <v>45113.846666666665</v>
      </c>
      <c r="C99" t="s">
        <v>36</v>
      </c>
      <c r="D99" t="s">
        <v>10</v>
      </c>
      <c r="E99" t="s">
        <v>44</v>
      </c>
      <c r="F99" t="s">
        <v>33</v>
      </c>
      <c r="G99" s="13">
        <v>5</v>
      </c>
      <c r="J99" s="43">
        <v>45334.115312499998</v>
      </c>
      <c r="K99" t="s">
        <v>28</v>
      </c>
      <c r="L99" t="s">
        <v>73</v>
      </c>
      <c r="M99" s="13">
        <v>300</v>
      </c>
    </row>
    <row r="100" spans="2:13" x14ac:dyDescent="0.35">
      <c r="B100" s="43">
        <v>45120.865902777776</v>
      </c>
      <c r="C100" t="s">
        <v>36</v>
      </c>
      <c r="D100" t="s">
        <v>10</v>
      </c>
      <c r="E100" t="s">
        <v>44</v>
      </c>
      <c r="F100" t="s">
        <v>33</v>
      </c>
      <c r="G100" s="13">
        <v>5</v>
      </c>
      <c r="J100" s="43">
        <v>45348.153773148151</v>
      </c>
      <c r="K100" t="s">
        <v>28</v>
      </c>
      <c r="L100" t="s">
        <v>73</v>
      </c>
      <c r="M100" s="13">
        <v>300</v>
      </c>
    </row>
    <row r="101" spans="2:13" x14ac:dyDescent="0.35">
      <c r="B101" s="43">
        <v>45127.885138888887</v>
      </c>
      <c r="C101" t="s">
        <v>36</v>
      </c>
      <c r="D101" t="s">
        <v>10</v>
      </c>
      <c r="E101" t="s">
        <v>44</v>
      </c>
      <c r="F101" t="s">
        <v>33</v>
      </c>
      <c r="G101" s="13">
        <v>5</v>
      </c>
      <c r="J101" s="43">
        <v>45362.192233796297</v>
      </c>
      <c r="K101" t="s">
        <v>28</v>
      </c>
      <c r="L101" t="s">
        <v>73</v>
      </c>
      <c r="M101" s="13">
        <v>300</v>
      </c>
    </row>
    <row r="102" spans="2:13" x14ac:dyDescent="0.35">
      <c r="B102" s="43">
        <v>45134.904374999998</v>
      </c>
      <c r="C102" t="s">
        <v>36</v>
      </c>
      <c r="D102" t="s">
        <v>10</v>
      </c>
      <c r="E102" t="s">
        <v>44</v>
      </c>
      <c r="F102" t="s">
        <v>33</v>
      </c>
      <c r="G102" s="13">
        <v>5</v>
      </c>
      <c r="J102" s="43">
        <v>45376.230694444443</v>
      </c>
      <c r="K102" t="s">
        <v>28</v>
      </c>
      <c r="L102" t="s">
        <v>73</v>
      </c>
      <c r="M102" s="13">
        <v>300</v>
      </c>
    </row>
    <row r="103" spans="2:13" x14ac:dyDescent="0.35">
      <c r="B103" s="43">
        <v>45141.923611111109</v>
      </c>
      <c r="C103" t="s">
        <v>36</v>
      </c>
      <c r="D103" t="s">
        <v>10</v>
      </c>
      <c r="E103" t="s">
        <v>44</v>
      </c>
      <c r="F103" t="s">
        <v>33</v>
      </c>
      <c r="G103" s="13">
        <v>5</v>
      </c>
      <c r="J103" s="43">
        <v>45390.269155092596</v>
      </c>
      <c r="K103" t="s">
        <v>28</v>
      </c>
      <c r="L103" t="s">
        <v>73</v>
      </c>
      <c r="M103" s="13">
        <v>300</v>
      </c>
    </row>
    <row r="104" spans="2:13" x14ac:dyDescent="0.35">
      <c r="B104" s="43">
        <v>45148.942847222221</v>
      </c>
      <c r="C104" t="s">
        <v>36</v>
      </c>
      <c r="D104" t="s">
        <v>10</v>
      </c>
      <c r="E104" t="s">
        <v>44</v>
      </c>
      <c r="F104" t="s">
        <v>33</v>
      </c>
      <c r="G104" s="13">
        <v>5</v>
      </c>
      <c r="J104" s="28">
        <v>45404.307615740741</v>
      </c>
      <c r="K104" t="s">
        <v>28</v>
      </c>
      <c r="L104" t="s">
        <v>73</v>
      </c>
      <c r="M104" s="13">
        <v>300</v>
      </c>
    </row>
    <row r="105" spans="2:13" x14ac:dyDescent="0.35">
      <c r="B105" s="43">
        <v>45155.962083333332</v>
      </c>
      <c r="C105" t="s">
        <v>36</v>
      </c>
      <c r="D105" t="s">
        <v>10</v>
      </c>
      <c r="E105" t="s">
        <v>44</v>
      </c>
      <c r="F105" t="s">
        <v>33</v>
      </c>
      <c r="G105" s="13">
        <v>5</v>
      </c>
      <c r="J105" s="43">
        <v>45418.346076388887</v>
      </c>
      <c r="K105" t="s">
        <v>28</v>
      </c>
      <c r="L105" t="s">
        <v>73</v>
      </c>
      <c r="M105" s="13">
        <v>300</v>
      </c>
    </row>
    <row r="106" spans="2:13" x14ac:dyDescent="0.35">
      <c r="B106" s="43">
        <v>45162.981319444443</v>
      </c>
      <c r="C106" t="s">
        <v>36</v>
      </c>
      <c r="D106" t="s">
        <v>10</v>
      </c>
      <c r="E106" t="s">
        <v>44</v>
      </c>
      <c r="F106" t="s">
        <v>33</v>
      </c>
      <c r="G106" s="13">
        <v>5</v>
      </c>
      <c r="J106" s="43">
        <v>45432.38453703704</v>
      </c>
      <c r="K106" t="s">
        <v>28</v>
      </c>
      <c r="L106" t="s">
        <v>73</v>
      </c>
      <c r="M106" s="13">
        <v>300</v>
      </c>
    </row>
    <row r="107" spans="2:13" x14ac:dyDescent="0.35">
      <c r="B107" s="43">
        <v>45170.000555555554</v>
      </c>
      <c r="C107" t="s">
        <v>36</v>
      </c>
      <c r="D107" t="s">
        <v>10</v>
      </c>
      <c r="E107" t="s">
        <v>44</v>
      </c>
      <c r="F107" t="s">
        <v>33</v>
      </c>
      <c r="G107" s="13">
        <v>5</v>
      </c>
      <c r="J107" s="43">
        <v>45446.422997685186</v>
      </c>
      <c r="K107" t="s">
        <v>28</v>
      </c>
      <c r="L107" t="s">
        <v>73</v>
      </c>
      <c r="M107" s="13">
        <v>300</v>
      </c>
    </row>
    <row r="108" spans="2:13" x14ac:dyDescent="0.35">
      <c r="B108" s="43">
        <v>45177.019791666666</v>
      </c>
      <c r="C108" t="s">
        <v>36</v>
      </c>
      <c r="D108" t="s">
        <v>10</v>
      </c>
      <c r="E108" t="s">
        <v>44</v>
      </c>
      <c r="F108" t="s">
        <v>33</v>
      </c>
      <c r="G108" s="13">
        <v>5</v>
      </c>
      <c r="J108" s="43">
        <v>45460.461458333331</v>
      </c>
      <c r="K108" t="s">
        <v>28</v>
      </c>
      <c r="L108" t="s">
        <v>73</v>
      </c>
      <c r="M108" s="13">
        <v>300</v>
      </c>
    </row>
    <row r="109" spans="2:13" x14ac:dyDescent="0.35">
      <c r="B109" s="43">
        <v>45184.039027777777</v>
      </c>
      <c r="C109" t="s">
        <v>36</v>
      </c>
      <c r="D109" t="s">
        <v>10</v>
      </c>
      <c r="E109" t="s">
        <v>44</v>
      </c>
      <c r="F109" t="s">
        <v>33</v>
      </c>
      <c r="G109" s="13">
        <v>5</v>
      </c>
      <c r="J109" s="43">
        <v>45474.499918981484</v>
      </c>
      <c r="K109" t="s">
        <v>28</v>
      </c>
      <c r="L109" t="s">
        <v>73</v>
      </c>
      <c r="M109" s="13">
        <v>300</v>
      </c>
    </row>
    <row r="110" spans="2:13" x14ac:dyDescent="0.35">
      <c r="B110" s="43">
        <v>45191.058263888888</v>
      </c>
      <c r="C110" t="s">
        <v>36</v>
      </c>
      <c r="D110" t="s">
        <v>10</v>
      </c>
      <c r="E110" t="s">
        <v>44</v>
      </c>
      <c r="F110" t="s">
        <v>33</v>
      </c>
      <c r="G110" s="13">
        <v>5</v>
      </c>
      <c r="J110" s="43">
        <v>45488.53837962963</v>
      </c>
      <c r="K110" t="s">
        <v>28</v>
      </c>
      <c r="L110" t="s">
        <v>73</v>
      </c>
      <c r="M110" s="13">
        <v>300</v>
      </c>
    </row>
    <row r="111" spans="2:13" x14ac:dyDescent="0.35">
      <c r="B111" s="43">
        <v>45198.077499999999</v>
      </c>
      <c r="C111" t="s">
        <v>36</v>
      </c>
      <c r="D111" t="s">
        <v>10</v>
      </c>
      <c r="E111" t="s">
        <v>44</v>
      </c>
      <c r="F111" t="s">
        <v>33</v>
      </c>
      <c r="G111" s="13">
        <v>5</v>
      </c>
      <c r="J111" s="43">
        <v>45502.576840277776</v>
      </c>
      <c r="K111" t="s">
        <v>28</v>
      </c>
      <c r="L111" t="s">
        <v>73</v>
      </c>
      <c r="M111" s="13">
        <v>300</v>
      </c>
    </row>
    <row r="112" spans="2:13" x14ac:dyDescent="0.35">
      <c r="B112" s="43">
        <v>45205.096736111111</v>
      </c>
      <c r="C112" t="s">
        <v>36</v>
      </c>
      <c r="D112" t="s">
        <v>10</v>
      </c>
      <c r="E112" t="s">
        <v>44</v>
      </c>
      <c r="F112" t="s">
        <v>33</v>
      </c>
      <c r="G112" s="13">
        <v>5</v>
      </c>
      <c r="J112" s="43">
        <v>45516.615300925929</v>
      </c>
      <c r="K112" t="s">
        <v>28</v>
      </c>
      <c r="L112" t="s">
        <v>73</v>
      </c>
      <c r="M112" s="13">
        <v>300</v>
      </c>
    </row>
    <row r="113" spans="2:13" x14ac:dyDescent="0.35">
      <c r="B113" s="43">
        <v>45212.115972222222</v>
      </c>
      <c r="C113" t="s">
        <v>36</v>
      </c>
      <c r="D113" t="s">
        <v>10</v>
      </c>
      <c r="E113" t="s">
        <v>44</v>
      </c>
      <c r="F113" t="s">
        <v>33</v>
      </c>
      <c r="G113" s="13">
        <v>5</v>
      </c>
      <c r="J113" s="43">
        <v>45530.653761574074</v>
      </c>
      <c r="K113" t="s">
        <v>28</v>
      </c>
      <c r="L113" t="s">
        <v>73</v>
      </c>
      <c r="M113" s="13">
        <v>300</v>
      </c>
    </row>
    <row r="114" spans="2:13" x14ac:dyDescent="0.35">
      <c r="B114" s="1">
        <v>45219.135208333333</v>
      </c>
      <c r="C114" t="s">
        <v>36</v>
      </c>
      <c r="D114" t="s">
        <v>10</v>
      </c>
      <c r="E114" t="s">
        <v>44</v>
      </c>
      <c r="F114" t="s">
        <v>33</v>
      </c>
      <c r="G114" s="13">
        <v>5</v>
      </c>
      <c r="J114" s="43">
        <v>45544.69222222222</v>
      </c>
      <c r="K114" t="s">
        <v>28</v>
      </c>
      <c r="L114" t="s">
        <v>73</v>
      </c>
      <c r="M114" s="13">
        <v>300</v>
      </c>
    </row>
    <row r="115" spans="2:13" x14ac:dyDescent="0.35">
      <c r="B115" s="43">
        <v>45226.154444444444</v>
      </c>
      <c r="C115" t="s">
        <v>36</v>
      </c>
      <c r="D115" t="s">
        <v>10</v>
      </c>
      <c r="E115" t="s">
        <v>44</v>
      </c>
      <c r="F115" t="s">
        <v>33</v>
      </c>
      <c r="G115" s="13">
        <v>5</v>
      </c>
      <c r="J115" s="43">
        <v>45558.730682870373</v>
      </c>
      <c r="K115" t="s">
        <v>28</v>
      </c>
      <c r="L115" t="s">
        <v>73</v>
      </c>
      <c r="M115" s="13">
        <v>300</v>
      </c>
    </row>
    <row r="116" spans="2:13" x14ac:dyDescent="0.35">
      <c r="B116" s="43">
        <v>45233.173680555556</v>
      </c>
      <c r="C116" t="s">
        <v>36</v>
      </c>
      <c r="D116" t="s">
        <v>10</v>
      </c>
      <c r="E116" t="s">
        <v>44</v>
      </c>
      <c r="F116" t="s">
        <v>33</v>
      </c>
      <c r="G116" s="13">
        <v>5</v>
      </c>
      <c r="J116" s="28">
        <v>45572.769143518519</v>
      </c>
      <c r="K116" t="s">
        <v>28</v>
      </c>
      <c r="L116" t="s">
        <v>73</v>
      </c>
      <c r="M116" s="13">
        <v>300</v>
      </c>
    </row>
    <row r="117" spans="2:13" x14ac:dyDescent="0.35">
      <c r="B117" s="43">
        <v>45240.192916666667</v>
      </c>
      <c r="C117" t="s">
        <v>36</v>
      </c>
      <c r="D117" t="s">
        <v>10</v>
      </c>
      <c r="E117" t="s">
        <v>44</v>
      </c>
      <c r="F117" t="s">
        <v>33</v>
      </c>
      <c r="G117" s="13">
        <v>5</v>
      </c>
      <c r="J117" s="43">
        <v>45586.807604166665</v>
      </c>
      <c r="K117" t="s">
        <v>28</v>
      </c>
      <c r="L117" t="s">
        <v>73</v>
      </c>
      <c r="M117" s="13">
        <v>300</v>
      </c>
    </row>
    <row r="118" spans="2:13" x14ac:dyDescent="0.35">
      <c r="B118" s="43">
        <v>45247.212152777778</v>
      </c>
      <c r="C118" t="s">
        <v>36</v>
      </c>
      <c r="D118" t="s">
        <v>10</v>
      </c>
      <c r="E118" t="s">
        <v>44</v>
      </c>
      <c r="F118" t="s">
        <v>33</v>
      </c>
      <c r="G118" s="13">
        <v>5</v>
      </c>
      <c r="J118" s="43">
        <v>45600.846064814818</v>
      </c>
      <c r="K118" t="s">
        <v>28</v>
      </c>
      <c r="L118" t="s">
        <v>73</v>
      </c>
      <c r="M118" s="13">
        <v>300</v>
      </c>
    </row>
    <row r="119" spans="2:13" x14ac:dyDescent="0.35">
      <c r="B119" s="43">
        <v>45254.231388888889</v>
      </c>
      <c r="C119" t="s">
        <v>36</v>
      </c>
      <c r="D119" t="s">
        <v>10</v>
      </c>
      <c r="E119" t="s">
        <v>44</v>
      </c>
      <c r="F119" t="s">
        <v>33</v>
      </c>
      <c r="G119" s="13">
        <v>5</v>
      </c>
      <c r="J119" s="43">
        <v>45614.884525462963</v>
      </c>
      <c r="K119" t="s">
        <v>28</v>
      </c>
      <c r="L119" t="s">
        <v>73</v>
      </c>
      <c r="M119" s="13">
        <v>300</v>
      </c>
    </row>
    <row r="120" spans="2:13" x14ac:dyDescent="0.35">
      <c r="B120" s="43">
        <v>45261.250625000001</v>
      </c>
      <c r="C120" t="s">
        <v>36</v>
      </c>
      <c r="D120" t="s">
        <v>10</v>
      </c>
      <c r="E120" t="s">
        <v>44</v>
      </c>
      <c r="F120" t="s">
        <v>33</v>
      </c>
      <c r="G120" s="13">
        <v>5</v>
      </c>
      <c r="J120" s="43">
        <v>45628.922986111109</v>
      </c>
      <c r="K120" t="s">
        <v>28</v>
      </c>
      <c r="L120" t="s">
        <v>73</v>
      </c>
      <c r="M120" s="13">
        <v>300</v>
      </c>
    </row>
    <row r="121" spans="2:13" x14ac:dyDescent="0.35">
      <c r="B121" s="43">
        <v>45268.269861111112</v>
      </c>
      <c r="C121" t="s">
        <v>36</v>
      </c>
      <c r="D121" t="s">
        <v>10</v>
      </c>
      <c r="E121" t="s">
        <v>44</v>
      </c>
      <c r="F121" t="s">
        <v>33</v>
      </c>
      <c r="G121" s="13">
        <v>5</v>
      </c>
      <c r="J121" s="43">
        <v>45642.961446759262</v>
      </c>
      <c r="K121" t="s">
        <v>28</v>
      </c>
      <c r="L121" t="s">
        <v>73</v>
      </c>
      <c r="M121" s="13">
        <v>300</v>
      </c>
    </row>
    <row r="122" spans="2:13" x14ac:dyDescent="0.35">
      <c r="B122" s="43">
        <v>45275.289097222223</v>
      </c>
      <c r="C122" t="s">
        <v>36</v>
      </c>
      <c r="D122" t="s">
        <v>10</v>
      </c>
      <c r="E122" t="s">
        <v>44</v>
      </c>
      <c r="F122" t="s">
        <v>33</v>
      </c>
      <c r="G122" s="13">
        <v>5</v>
      </c>
      <c r="J122" s="43">
        <v>45656.999907407408</v>
      </c>
      <c r="K122" t="s">
        <v>28</v>
      </c>
      <c r="L122" t="s">
        <v>73</v>
      </c>
      <c r="M122" s="13">
        <v>300</v>
      </c>
    </row>
    <row r="123" spans="2:13" x14ac:dyDescent="0.35">
      <c r="B123" s="43">
        <v>45282.308333333334</v>
      </c>
      <c r="C123" t="s">
        <v>36</v>
      </c>
      <c r="D123" t="s">
        <v>10</v>
      </c>
      <c r="E123" t="s">
        <v>44</v>
      </c>
      <c r="F123" t="s">
        <v>33</v>
      </c>
      <c r="G123" s="13">
        <v>5</v>
      </c>
      <c r="J123" s="43">
        <v>45671.038368055553</v>
      </c>
      <c r="K123" t="s">
        <v>28</v>
      </c>
      <c r="L123" t="s">
        <v>73</v>
      </c>
      <c r="M123" s="13">
        <v>300</v>
      </c>
    </row>
    <row r="124" spans="2:13" x14ac:dyDescent="0.35">
      <c r="B124" s="43">
        <v>45289.327569444446</v>
      </c>
      <c r="C124" t="s">
        <v>36</v>
      </c>
      <c r="D124" t="s">
        <v>10</v>
      </c>
      <c r="E124" t="s">
        <v>44</v>
      </c>
      <c r="F124" t="s">
        <v>33</v>
      </c>
      <c r="G124" s="13">
        <v>5</v>
      </c>
      <c r="J124" s="1">
        <v>45685.076828703706</v>
      </c>
      <c r="K124" t="s">
        <v>28</v>
      </c>
      <c r="L124" t="s">
        <v>73</v>
      </c>
      <c r="M124" s="13">
        <v>300</v>
      </c>
    </row>
    <row r="125" spans="2:13" x14ac:dyDescent="0.35">
      <c r="B125" s="43">
        <v>45296.346805555557</v>
      </c>
      <c r="C125" t="s">
        <v>36</v>
      </c>
      <c r="D125" t="s">
        <v>10</v>
      </c>
      <c r="E125" t="s">
        <v>44</v>
      </c>
      <c r="F125" t="s">
        <v>33</v>
      </c>
      <c r="G125" s="13">
        <v>5</v>
      </c>
      <c r="J125" s="43">
        <v>45699.115289351852</v>
      </c>
      <c r="K125" t="s">
        <v>28</v>
      </c>
      <c r="L125" t="s">
        <v>73</v>
      </c>
      <c r="M125" s="13">
        <v>300</v>
      </c>
    </row>
    <row r="126" spans="2:13" x14ac:dyDescent="0.35">
      <c r="B126" s="43">
        <v>45303.366041666668</v>
      </c>
      <c r="C126" t="s">
        <v>36</v>
      </c>
      <c r="D126" t="s">
        <v>10</v>
      </c>
      <c r="E126" t="s">
        <v>44</v>
      </c>
      <c r="F126" t="s">
        <v>33</v>
      </c>
      <c r="G126" s="13">
        <v>5</v>
      </c>
      <c r="J126" s="43">
        <v>45713.153749999998</v>
      </c>
      <c r="K126" t="s">
        <v>28</v>
      </c>
      <c r="L126" t="s">
        <v>73</v>
      </c>
      <c r="M126" s="13">
        <v>300</v>
      </c>
    </row>
    <row r="127" spans="2:13" x14ac:dyDescent="0.35">
      <c r="B127" s="43">
        <v>45310.385277777779</v>
      </c>
      <c r="C127" t="s">
        <v>36</v>
      </c>
      <c r="D127" t="s">
        <v>10</v>
      </c>
      <c r="E127" t="s">
        <v>44</v>
      </c>
      <c r="F127" t="s">
        <v>33</v>
      </c>
      <c r="G127" s="13">
        <v>5</v>
      </c>
      <c r="J127" s="43">
        <v>45727.192210648151</v>
      </c>
      <c r="K127" t="s">
        <v>28</v>
      </c>
      <c r="L127" t="s">
        <v>73</v>
      </c>
      <c r="M127" s="13">
        <v>300</v>
      </c>
    </row>
    <row r="128" spans="2:13" x14ac:dyDescent="0.35">
      <c r="B128" s="43">
        <v>45317.404513888891</v>
      </c>
      <c r="C128" t="s">
        <v>36</v>
      </c>
      <c r="D128" t="s">
        <v>10</v>
      </c>
      <c r="E128" t="s">
        <v>44</v>
      </c>
      <c r="F128" t="s">
        <v>33</v>
      </c>
      <c r="G128" s="13">
        <v>5</v>
      </c>
      <c r="J128" s="43">
        <v>45741.230671296296</v>
      </c>
      <c r="K128" t="s">
        <v>28</v>
      </c>
      <c r="L128" t="s">
        <v>73</v>
      </c>
      <c r="M128" s="13">
        <v>300</v>
      </c>
    </row>
    <row r="129" spans="2:13" x14ac:dyDescent="0.35">
      <c r="B129" s="43">
        <v>45324.423750000002</v>
      </c>
      <c r="C129" t="s">
        <v>36</v>
      </c>
      <c r="D129" t="s">
        <v>10</v>
      </c>
      <c r="E129" t="s">
        <v>44</v>
      </c>
      <c r="F129" t="s">
        <v>33</v>
      </c>
      <c r="G129" s="13">
        <v>5</v>
      </c>
      <c r="J129" s="43">
        <v>45755.269131944442</v>
      </c>
      <c r="K129" t="s">
        <v>28</v>
      </c>
      <c r="L129" t="s">
        <v>73</v>
      </c>
      <c r="M129" s="13">
        <v>300</v>
      </c>
    </row>
    <row r="130" spans="2:13" x14ac:dyDescent="0.35">
      <c r="B130" s="43">
        <v>45331.442986111113</v>
      </c>
      <c r="C130" t="s">
        <v>36</v>
      </c>
      <c r="D130" t="s">
        <v>10</v>
      </c>
      <c r="E130" t="s">
        <v>44</v>
      </c>
      <c r="F130" t="s">
        <v>33</v>
      </c>
      <c r="G130" s="13">
        <v>5</v>
      </c>
      <c r="J130" s="43">
        <v>45769.307592592595</v>
      </c>
      <c r="K130" t="s">
        <v>28</v>
      </c>
      <c r="L130" t="s">
        <v>73</v>
      </c>
      <c r="M130" s="13">
        <v>300</v>
      </c>
    </row>
    <row r="131" spans="2:13" x14ac:dyDescent="0.35">
      <c r="B131" s="43">
        <v>45338.462222222224</v>
      </c>
      <c r="C131" t="s">
        <v>36</v>
      </c>
      <c r="D131" t="s">
        <v>10</v>
      </c>
      <c r="E131" t="s">
        <v>44</v>
      </c>
      <c r="F131" t="s">
        <v>33</v>
      </c>
      <c r="G131" s="13">
        <v>5</v>
      </c>
      <c r="J131" s="43">
        <v>45783.346053240741</v>
      </c>
      <c r="K131" t="s">
        <v>28</v>
      </c>
      <c r="L131" t="s">
        <v>73</v>
      </c>
      <c r="M131" s="13">
        <v>300</v>
      </c>
    </row>
    <row r="132" spans="2:13" x14ac:dyDescent="0.35">
      <c r="B132" s="43">
        <v>45345.481458333335</v>
      </c>
      <c r="C132" t="s">
        <v>36</v>
      </c>
      <c r="D132" t="s">
        <v>10</v>
      </c>
      <c r="E132" t="s">
        <v>44</v>
      </c>
      <c r="F132" t="s">
        <v>33</v>
      </c>
      <c r="G132" s="13">
        <v>5</v>
      </c>
      <c r="J132" s="43">
        <v>45797.384513888886</v>
      </c>
      <c r="K132" t="s">
        <v>28</v>
      </c>
      <c r="L132" t="s">
        <v>73</v>
      </c>
      <c r="M132" s="13">
        <v>300</v>
      </c>
    </row>
    <row r="133" spans="2:13" x14ac:dyDescent="0.35">
      <c r="B133" s="43">
        <v>45352.500694444447</v>
      </c>
      <c r="C133" t="s">
        <v>36</v>
      </c>
      <c r="D133" t="s">
        <v>10</v>
      </c>
      <c r="E133" t="s">
        <v>44</v>
      </c>
      <c r="F133" t="s">
        <v>33</v>
      </c>
      <c r="G133" s="13">
        <v>5</v>
      </c>
      <c r="J133" s="43">
        <v>45811.422974537039</v>
      </c>
      <c r="K133" t="s">
        <v>28</v>
      </c>
      <c r="L133" t="s">
        <v>73</v>
      </c>
      <c r="M133" s="13">
        <v>300</v>
      </c>
    </row>
    <row r="134" spans="2:13" x14ac:dyDescent="0.35">
      <c r="B134" s="43">
        <v>45359.519930555558</v>
      </c>
      <c r="C134" t="s">
        <v>36</v>
      </c>
      <c r="D134" t="s">
        <v>10</v>
      </c>
      <c r="E134" t="s">
        <v>44</v>
      </c>
      <c r="F134" t="s">
        <v>33</v>
      </c>
      <c r="G134" s="13">
        <v>5</v>
      </c>
      <c r="J134" s="43">
        <v>45825.461435185185</v>
      </c>
      <c r="K134" t="s">
        <v>28</v>
      </c>
      <c r="L134" t="s">
        <v>73</v>
      </c>
      <c r="M134" s="13">
        <v>300</v>
      </c>
    </row>
    <row r="135" spans="2:13" x14ac:dyDescent="0.35">
      <c r="B135" s="43">
        <v>45366.539166666669</v>
      </c>
      <c r="C135" t="s">
        <v>36</v>
      </c>
      <c r="D135" t="s">
        <v>10</v>
      </c>
      <c r="E135" t="s">
        <v>44</v>
      </c>
      <c r="F135" t="s">
        <v>33</v>
      </c>
      <c r="G135" s="13">
        <v>5</v>
      </c>
      <c r="J135" s="43">
        <v>45839.499895833331</v>
      </c>
      <c r="K135" t="s">
        <v>28</v>
      </c>
      <c r="L135" t="s">
        <v>73</v>
      </c>
      <c r="M135" s="13">
        <v>300</v>
      </c>
    </row>
    <row r="136" spans="2:13" x14ac:dyDescent="0.35">
      <c r="B136" s="43">
        <v>45373.55840277778</v>
      </c>
      <c r="C136" t="s">
        <v>36</v>
      </c>
      <c r="D136" t="s">
        <v>10</v>
      </c>
      <c r="E136" t="s">
        <v>44</v>
      </c>
      <c r="F136" t="s">
        <v>33</v>
      </c>
      <c r="G136" s="13">
        <v>5</v>
      </c>
      <c r="J136" s="28">
        <v>45853.538356481484</v>
      </c>
      <c r="K136" t="s">
        <v>28</v>
      </c>
      <c r="L136" t="s">
        <v>73</v>
      </c>
      <c r="M136" s="13">
        <v>300</v>
      </c>
    </row>
    <row r="137" spans="2:13" x14ac:dyDescent="0.35">
      <c r="B137" s="43">
        <v>45380.577638888892</v>
      </c>
      <c r="C137" t="s">
        <v>36</v>
      </c>
      <c r="D137" t="s">
        <v>10</v>
      </c>
      <c r="E137" t="s">
        <v>44</v>
      </c>
      <c r="F137" t="s">
        <v>33</v>
      </c>
      <c r="G137" s="13">
        <v>5</v>
      </c>
      <c r="J137" s="43">
        <v>45867.576817129629</v>
      </c>
      <c r="K137" t="s">
        <v>28</v>
      </c>
      <c r="L137" t="s">
        <v>73</v>
      </c>
      <c r="M137" s="13">
        <v>300</v>
      </c>
    </row>
    <row r="138" spans="2:13" x14ac:dyDescent="0.35">
      <c r="B138" s="43">
        <v>45387.596875000003</v>
      </c>
      <c r="C138" t="s">
        <v>36</v>
      </c>
      <c r="D138" t="s">
        <v>10</v>
      </c>
      <c r="E138" t="s">
        <v>44</v>
      </c>
      <c r="F138" t="s">
        <v>33</v>
      </c>
      <c r="G138" s="13">
        <v>5</v>
      </c>
      <c r="J138" s="43">
        <v>45881.615277777775</v>
      </c>
      <c r="K138" t="s">
        <v>28</v>
      </c>
      <c r="L138" t="s">
        <v>73</v>
      </c>
      <c r="M138" s="13">
        <v>300</v>
      </c>
    </row>
    <row r="139" spans="2:13" x14ac:dyDescent="0.35">
      <c r="B139" s="43">
        <v>45394.616111111114</v>
      </c>
      <c r="C139" t="s">
        <v>36</v>
      </c>
      <c r="D139" t="s">
        <v>10</v>
      </c>
      <c r="E139" t="s">
        <v>44</v>
      </c>
      <c r="F139" t="s">
        <v>33</v>
      </c>
      <c r="G139" s="13">
        <v>5</v>
      </c>
      <c r="J139" s="43">
        <v>45895.653738425928</v>
      </c>
      <c r="K139" t="s">
        <v>28</v>
      </c>
      <c r="L139" t="s">
        <v>73</v>
      </c>
      <c r="M139" s="13">
        <v>300</v>
      </c>
    </row>
    <row r="140" spans="2:13" x14ac:dyDescent="0.35">
      <c r="B140" s="43">
        <v>45401.635347222225</v>
      </c>
      <c r="C140" t="s">
        <v>36</v>
      </c>
      <c r="D140" t="s">
        <v>10</v>
      </c>
      <c r="E140" t="s">
        <v>44</v>
      </c>
      <c r="F140" t="s">
        <v>33</v>
      </c>
      <c r="G140" s="13">
        <v>5</v>
      </c>
      <c r="J140" s="43">
        <v>45909.692199074074</v>
      </c>
      <c r="K140" t="s">
        <v>28</v>
      </c>
      <c r="L140" t="s">
        <v>73</v>
      </c>
      <c r="M140" s="13">
        <v>300</v>
      </c>
    </row>
    <row r="141" spans="2:13" x14ac:dyDescent="0.35">
      <c r="B141" s="43">
        <v>45408.654583333337</v>
      </c>
      <c r="C141" t="s">
        <v>36</v>
      </c>
      <c r="D141" t="s">
        <v>10</v>
      </c>
      <c r="E141" t="s">
        <v>44</v>
      </c>
      <c r="F141" t="s">
        <v>33</v>
      </c>
      <c r="G141" s="13">
        <v>5</v>
      </c>
      <c r="J141" s="43">
        <v>45923.73065972222</v>
      </c>
      <c r="K141" t="s">
        <v>28</v>
      </c>
      <c r="L141" t="s">
        <v>73</v>
      </c>
      <c r="M141" s="13">
        <v>300</v>
      </c>
    </row>
    <row r="142" spans="2:13" x14ac:dyDescent="0.35">
      <c r="B142" s="43">
        <v>45415.673819444448</v>
      </c>
      <c r="C142" t="s">
        <v>36</v>
      </c>
      <c r="D142" t="s">
        <v>10</v>
      </c>
      <c r="E142" t="s">
        <v>44</v>
      </c>
      <c r="F142" t="s">
        <v>33</v>
      </c>
      <c r="G142" s="13">
        <v>5</v>
      </c>
      <c r="J142" s="43">
        <v>45937.769120370373</v>
      </c>
      <c r="K142" t="s">
        <v>28</v>
      </c>
      <c r="L142" t="s">
        <v>73</v>
      </c>
      <c r="M142" s="13">
        <v>300</v>
      </c>
    </row>
    <row r="143" spans="2:13" x14ac:dyDescent="0.35">
      <c r="B143" s="43">
        <v>45422.693055555559</v>
      </c>
      <c r="C143" t="s">
        <v>36</v>
      </c>
      <c r="D143" t="s">
        <v>10</v>
      </c>
      <c r="E143" t="s">
        <v>44</v>
      </c>
      <c r="F143" t="s">
        <v>33</v>
      </c>
      <c r="G143" s="13">
        <v>5</v>
      </c>
      <c r="J143" s="43">
        <v>45951.807581018518</v>
      </c>
      <c r="K143" t="s">
        <v>28</v>
      </c>
      <c r="L143" t="s">
        <v>73</v>
      </c>
      <c r="M143" s="13">
        <v>300</v>
      </c>
    </row>
    <row r="144" spans="2:13" x14ac:dyDescent="0.35">
      <c r="B144" s="43">
        <v>45429.712291666663</v>
      </c>
      <c r="C144" t="s">
        <v>36</v>
      </c>
      <c r="D144" t="s">
        <v>10</v>
      </c>
      <c r="E144" t="s">
        <v>44</v>
      </c>
      <c r="F144" t="s">
        <v>33</v>
      </c>
      <c r="G144" s="13">
        <v>5</v>
      </c>
      <c r="J144" s="43">
        <v>45965.846041666664</v>
      </c>
      <c r="K144" t="s">
        <v>28</v>
      </c>
      <c r="L144" t="s">
        <v>73</v>
      </c>
      <c r="M144" s="13">
        <v>300</v>
      </c>
    </row>
    <row r="145" spans="2:13" x14ac:dyDescent="0.35">
      <c r="B145" s="43">
        <v>45436.731527777774</v>
      </c>
      <c r="C145" t="s">
        <v>36</v>
      </c>
      <c r="D145" t="s">
        <v>10</v>
      </c>
      <c r="E145" t="s">
        <v>44</v>
      </c>
      <c r="F145" t="s">
        <v>33</v>
      </c>
      <c r="G145" s="13">
        <v>5</v>
      </c>
      <c r="J145" s="43">
        <v>45979.884502314817</v>
      </c>
      <c r="K145" t="s">
        <v>28</v>
      </c>
      <c r="L145" t="s">
        <v>73</v>
      </c>
      <c r="M145" s="13">
        <v>300</v>
      </c>
    </row>
    <row r="146" spans="2:13" x14ac:dyDescent="0.35">
      <c r="B146" s="43">
        <v>45443.750763888886</v>
      </c>
      <c r="C146" t="s">
        <v>36</v>
      </c>
      <c r="D146" t="s">
        <v>10</v>
      </c>
      <c r="E146" t="s">
        <v>44</v>
      </c>
      <c r="F146" t="s">
        <v>33</v>
      </c>
      <c r="G146" s="13">
        <v>5</v>
      </c>
      <c r="J146" s="43">
        <v>45993.922962962963</v>
      </c>
      <c r="K146" t="s">
        <v>28</v>
      </c>
      <c r="L146" t="s">
        <v>73</v>
      </c>
      <c r="M146" s="13">
        <v>300</v>
      </c>
    </row>
    <row r="147" spans="2:13" x14ac:dyDescent="0.35">
      <c r="B147" s="43">
        <v>45450.77</v>
      </c>
      <c r="C147" t="s">
        <v>36</v>
      </c>
      <c r="D147" t="s">
        <v>10</v>
      </c>
      <c r="E147" t="s">
        <v>44</v>
      </c>
      <c r="F147" t="s">
        <v>33</v>
      </c>
      <c r="G147" s="13">
        <v>5</v>
      </c>
      <c r="J147" s="43">
        <v>46007.961423611108</v>
      </c>
      <c r="K147" t="s">
        <v>28</v>
      </c>
      <c r="L147" t="s">
        <v>73</v>
      </c>
      <c r="M147" s="13">
        <v>300</v>
      </c>
    </row>
    <row r="148" spans="2:13" x14ac:dyDescent="0.35">
      <c r="B148" s="43">
        <v>45457.789236111108</v>
      </c>
      <c r="C148" t="s">
        <v>36</v>
      </c>
      <c r="D148" t="s">
        <v>10</v>
      </c>
      <c r="E148" t="s">
        <v>44</v>
      </c>
      <c r="F148" t="s">
        <v>33</v>
      </c>
      <c r="G148" s="13">
        <v>5</v>
      </c>
      <c r="J148" s="28">
        <v>46021.999884259261</v>
      </c>
      <c r="K148" t="s">
        <v>28</v>
      </c>
      <c r="L148" t="s">
        <v>73</v>
      </c>
      <c r="M148" s="13">
        <v>300</v>
      </c>
    </row>
    <row r="149" spans="2:13" x14ac:dyDescent="0.35">
      <c r="B149" s="43">
        <v>45464.808472222219</v>
      </c>
      <c r="C149" t="s">
        <v>36</v>
      </c>
      <c r="D149" t="s">
        <v>10</v>
      </c>
      <c r="E149" t="s">
        <v>44</v>
      </c>
      <c r="F149" t="s">
        <v>33</v>
      </c>
      <c r="G149" s="13">
        <v>5</v>
      </c>
      <c r="J149" s="43">
        <v>46036.038344907407</v>
      </c>
      <c r="K149" t="s">
        <v>28</v>
      </c>
      <c r="L149" t="s">
        <v>73</v>
      </c>
      <c r="M149" s="13">
        <v>300</v>
      </c>
    </row>
    <row r="150" spans="2:13" x14ac:dyDescent="0.35">
      <c r="B150" s="43">
        <v>45471.827708333331</v>
      </c>
      <c r="C150" t="s">
        <v>36</v>
      </c>
      <c r="D150" t="s">
        <v>10</v>
      </c>
      <c r="E150" t="s">
        <v>44</v>
      </c>
      <c r="F150" t="s">
        <v>33</v>
      </c>
      <c r="G150" s="13">
        <v>5</v>
      </c>
      <c r="J150" s="43">
        <v>46050.076805555553</v>
      </c>
      <c r="K150" t="s">
        <v>28</v>
      </c>
      <c r="L150" t="s">
        <v>73</v>
      </c>
      <c r="M150" s="13">
        <v>300</v>
      </c>
    </row>
    <row r="151" spans="2:13" x14ac:dyDescent="0.35">
      <c r="B151" s="43">
        <v>45478.846944444442</v>
      </c>
      <c r="C151" t="s">
        <v>36</v>
      </c>
      <c r="D151" t="s">
        <v>10</v>
      </c>
      <c r="E151" t="s">
        <v>44</v>
      </c>
      <c r="F151" t="s">
        <v>33</v>
      </c>
      <c r="G151" s="13">
        <v>5</v>
      </c>
      <c r="J151" s="43">
        <v>46064.115266203706</v>
      </c>
      <c r="K151" t="s">
        <v>28</v>
      </c>
      <c r="L151" t="s">
        <v>73</v>
      </c>
      <c r="M151" s="13">
        <v>300</v>
      </c>
    </row>
    <row r="152" spans="2:13" x14ac:dyDescent="0.35">
      <c r="B152" s="43">
        <v>45485.866180555553</v>
      </c>
      <c r="C152" t="s">
        <v>36</v>
      </c>
      <c r="D152" t="s">
        <v>10</v>
      </c>
      <c r="E152" t="s">
        <v>44</v>
      </c>
      <c r="F152" t="s">
        <v>33</v>
      </c>
      <c r="G152" s="13">
        <v>5</v>
      </c>
      <c r="J152" s="43">
        <v>46078.153726851851</v>
      </c>
      <c r="K152" t="s">
        <v>28</v>
      </c>
      <c r="L152" t="s">
        <v>73</v>
      </c>
      <c r="M152" s="13">
        <v>300</v>
      </c>
    </row>
    <row r="153" spans="2:13" x14ac:dyDescent="0.35">
      <c r="B153" s="43">
        <v>45492.885416666664</v>
      </c>
      <c r="C153" t="s">
        <v>36</v>
      </c>
      <c r="D153" t="s">
        <v>10</v>
      </c>
      <c r="E153" t="s">
        <v>44</v>
      </c>
      <c r="F153" t="s">
        <v>33</v>
      </c>
      <c r="G153" s="13">
        <v>5</v>
      </c>
      <c r="J153" s="43">
        <v>46092.192187499997</v>
      </c>
      <c r="K153" t="s">
        <v>28</v>
      </c>
      <c r="L153" t="s">
        <v>73</v>
      </c>
      <c r="M153" s="13">
        <v>300</v>
      </c>
    </row>
    <row r="154" spans="2:13" x14ac:dyDescent="0.35">
      <c r="B154" s="43">
        <v>45499.904652777775</v>
      </c>
      <c r="C154" t="s">
        <v>36</v>
      </c>
      <c r="D154" t="s">
        <v>10</v>
      </c>
      <c r="E154" t="s">
        <v>44</v>
      </c>
      <c r="F154" t="s">
        <v>33</v>
      </c>
      <c r="G154" s="13">
        <v>5</v>
      </c>
      <c r="J154" s="43">
        <v>46106.23064814815</v>
      </c>
      <c r="K154" t="s">
        <v>28</v>
      </c>
      <c r="L154" t="s">
        <v>73</v>
      </c>
      <c r="M154" s="13">
        <v>300</v>
      </c>
    </row>
    <row r="155" spans="2:13" x14ac:dyDescent="0.35">
      <c r="B155" s="43">
        <v>45506.923888888887</v>
      </c>
      <c r="C155" t="s">
        <v>36</v>
      </c>
      <c r="D155" t="s">
        <v>10</v>
      </c>
      <c r="E155" t="s">
        <v>44</v>
      </c>
      <c r="F155" t="s">
        <v>33</v>
      </c>
      <c r="G155" s="13">
        <v>5</v>
      </c>
      <c r="J155" s="43"/>
      <c r="M155" s="13"/>
    </row>
    <row r="156" spans="2:13" x14ac:dyDescent="0.35">
      <c r="B156" s="43">
        <v>45513.943124999998</v>
      </c>
      <c r="C156" t="s">
        <v>36</v>
      </c>
      <c r="D156" t="s">
        <v>10</v>
      </c>
      <c r="E156" t="s">
        <v>44</v>
      </c>
      <c r="F156" t="s">
        <v>33</v>
      </c>
      <c r="G156" s="13">
        <v>5</v>
      </c>
      <c r="J156" s="43"/>
      <c r="M156" s="13"/>
    </row>
    <row r="157" spans="2:13" x14ac:dyDescent="0.35">
      <c r="B157" s="43">
        <v>45520.962361111109</v>
      </c>
      <c r="C157" t="s">
        <v>36</v>
      </c>
      <c r="D157" t="s">
        <v>10</v>
      </c>
      <c r="E157" t="s">
        <v>44</v>
      </c>
      <c r="F157" t="s">
        <v>33</v>
      </c>
      <c r="G157" s="13">
        <v>5</v>
      </c>
      <c r="J157" s="43"/>
      <c r="M157" s="13"/>
    </row>
    <row r="158" spans="2:13" x14ac:dyDescent="0.35">
      <c r="B158" s="43">
        <v>45527.98159722222</v>
      </c>
      <c r="C158" t="s">
        <v>36</v>
      </c>
      <c r="D158" t="s">
        <v>10</v>
      </c>
      <c r="E158" t="s">
        <v>44</v>
      </c>
      <c r="F158" t="s">
        <v>33</v>
      </c>
      <c r="G158" s="13">
        <v>5</v>
      </c>
      <c r="J158" s="43"/>
      <c r="M158" s="13"/>
    </row>
    <row r="159" spans="2:13" x14ac:dyDescent="0.35">
      <c r="B159" s="43">
        <v>45535.000833333332</v>
      </c>
      <c r="C159" t="s">
        <v>36</v>
      </c>
      <c r="D159" t="s">
        <v>10</v>
      </c>
      <c r="E159" t="s">
        <v>44</v>
      </c>
      <c r="F159" t="s">
        <v>33</v>
      </c>
      <c r="G159" s="13">
        <v>5</v>
      </c>
      <c r="J159" s="43"/>
      <c r="M159" s="13"/>
    </row>
    <row r="160" spans="2:13" x14ac:dyDescent="0.35">
      <c r="B160" s="43">
        <v>45542.020069444443</v>
      </c>
      <c r="C160" t="s">
        <v>36</v>
      </c>
      <c r="D160" t="s">
        <v>10</v>
      </c>
      <c r="E160" t="s">
        <v>44</v>
      </c>
      <c r="F160" t="s">
        <v>33</v>
      </c>
      <c r="G160" s="13">
        <v>5</v>
      </c>
      <c r="J160" s="28"/>
      <c r="M160" s="13"/>
    </row>
    <row r="161" spans="2:13" x14ac:dyDescent="0.35">
      <c r="B161" s="43">
        <v>45549.039305555554</v>
      </c>
      <c r="C161" t="s">
        <v>36</v>
      </c>
      <c r="D161" t="s">
        <v>10</v>
      </c>
      <c r="E161" t="s">
        <v>44</v>
      </c>
      <c r="F161" t="s">
        <v>33</v>
      </c>
      <c r="G161" s="13">
        <v>5</v>
      </c>
      <c r="J161" s="43"/>
      <c r="M161" s="13"/>
    </row>
    <row r="162" spans="2:13" x14ac:dyDescent="0.35">
      <c r="B162" s="43">
        <v>45556.058541666665</v>
      </c>
      <c r="C162" t="s">
        <v>36</v>
      </c>
      <c r="D162" t="s">
        <v>10</v>
      </c>
      <c r="E162" t="s">
        <v>44</v>
      </c>
      <c r="F162" t="s">
        <v>33</v>
      </c>
      <c r="G162" s="13">
        <v>5</v>
      </c>
      <c r="J162" s="43"/>
      <c r="M162" s="13"/>
    </row>
    <row r="163" spans="2:13" x14ac:dyDescent="0.35">
      <c r="B163" s="43">
        <v>45563.077777777777</v>
      </c>
      <c r="C163" t="s">
        <v>36</v>
      </c>
      <c r="D163" t="s">
        <v>10</v>
      </c>
      <c r="E163" t="s">
        <v>44</v>
      </c>
      <c r="F163" t="s">
        <v>33</v>
      </c>
      <c r="G163" s="13">
        <v>5</v>
      </c>
      <c r="J163" s="43"/>
      <c r="M163" s="13"/>
    </row>
    <row r="164" spans="2:13" x14ac:dyDescent="0.35">
      <c r="B164" s="43">
        <v>45570.097013888888</v>
      </c>
      <c r="C164" t="s">
        <v>36</v>
      </c>
      <c r="D164" t="s">
        <v>10</v>
      </c>
      <c r="E164" t="s">
        <v>44</v>
      </c>
      <c r="F164" t="s">
        <v>33</v>
      </c>
      <c r="G164" s="13">
        <v>5</v>
      </c>
      <c r="J164" s="43"/>
      <c r="M164" s="13"/>
    </row>
    <row r="165" spans="2:13" x14ac:dyDescent="0.35">
      <c r="B165" s="43">
        <v>45577.116249999999</v>
      </c>
      <c r="C165" t="s">
        <v>36</v>
      </c>
      <c r="D165" t="s">
        <v>10</v>
      </c>
      <c r="E165" t="s">
        <v>44</v>
      </c>
      <c r="F165" t="s">
        <v>33</v>
      </c>
      <c r="G165" s="13">
        <v>5</v>
      </c>
      <c r="J165" s="43"/>
      <c r="M165" s="13"/>
    </row>
    <row r="166" spans="2:13" x14ac:dyDescent="0.35">
      <c r="B166" s="43">
        <v>45584.13548611111</v>
      </c>
      <c r="C166" t="s">
        <v>36</v>
      </c>
      <c r="D166" t="s">
        <v>10</v>
      </c>
      <c r="E166" t="s">
        <v>44</v>
      </c>
      <c r="F166" t="s">
        <v>33</v>
      </c>
      <c r="G166" s="13">
        <v>5</v>
      </c>
      <c r="J166" s="43"/>
      <c r="M166" s="13"/>
    </row>
    <row r="167" spans="2:13" x14ac:dyDescent="0.35">
      <c r="B167" s="43">
        <v>45591.154722222222</v>
      </c>
      <c r="C167" t="s">
        <v>36</v>
      </c>
      <c r="D167" t="s">
        <v>10</v>
      </c>
      <c r="E167" t="s">
        <v>44</v>
      </c>
      <c r="F167" t="s">
        <v>33</v>
      </c>
      <c r="G167" s="13">
        <v>5</v>
      </c>
      <c r="J167" s="43"/>
      <c r="M167" s="13"/>
    </row>
    <row r="168" spans="2:13" x14ac:dyDescent="0.35">
      <c r="B168" s="43">
        <v>45598.173958333333</v>
      </c>
      <c r="C168" t="s">
        <v>36</v>
      </c>
      <c r="D168" t="s">
        <v>10</v>
      </c>
      <c r="E168" t="s">
        <v>44</v>
      </c>
      <c r="F168" t="s">
        <v>33</v>
      </c>
      <c r="G168" s="13">
        <v>5</v>
      </c>
      <c r="J168" s="43"/>
      <c r="M168" s="13"/>
    </row>
    <row r="169" spans="2:13" x14ac:dyDescent="0.35">
      <c r="B169" s="43">
        <v>45605.193194444444</v>
      </c>
      <c r="C169" t="s">
        <v>36</v>
      </c>
      <c r="D169" t="s">
        <v>10</v>
      </c>
      <c r="E169" t="s">
        <v>44</v>
      </c>
      <c r="F169" t="s">
        <v>33</v>
      </c>
      <c r="G169" s="13">
        <v>5</v>
      </c>
      <c r="J169" s="43"/>
      <c r="M169" s="13"/>
    </row>
    <row r="170" spans="2:13" x14ac:dyDescent="0.35">
      <c r="B170" s="43">
        <v>45612.212430555555</v>
      </c>
      <c r="C170" t="s">
        <v>36</v>
      </c>
      <c r="D170" t="s">
        <v>10</v>
      </c>
      <c r="E170" t="s">
        <v>44</v>
      </c>
      <c r="F170" t="s">
        <v>33</v>
      </c>
      <c r="G170" s="13">
        <v>5</v>
      </c>
      <c r="J170" s="43"/>
      <c r="M170" s="13"/>
    </row>
    <row r="171" spans="2:13" x14ac:dyDescent="0.35">
      <c r="B171" s="43">
        <v>45619.231666666667</v>
      </c>
      <c r="C171" t="s">
        <v>36</v>
      </c>
      <c r="D171" t="s">
        <v>10</v>
      </c>
      <c r="E171" t="s">
        <v>44</v>
      </c>
      <c r="F171" t="s">
        <v>33</v>
      </c>
      <c r="G171" s="13">
        <v>5</v>
      </c>
      <c r="J171" s="43"/>
      <c r="M171" s="13"/>
    </row>
    <row r="172" spans="2:13" x14ac:dyDescent="0.35">
      <c r="B172" s="43">
        <v>45626.250902777778</v>
      </c>
      <c r="C172" t="s">
        <v>36</v>
      </c>
      <c r="D172" t="s">
        <v>10</v>
      </c>
      <c r="E172" t="s">
        <v>44</v>
      </c>
      <c r="F172" t="s">
        <v>33</v>
      </c>
      <c r="G172" s="13">
        <v>5</v>
      </c>
      <c r="J172" s="28"/>
      <c r="M172" s="13"/>
    </row>
    <row r="173" spans="2:13" x14ac:dyDescent="0.35">
      <c r="B173" s="43">
        <v>45633.270138888889</v>
      </c>
      <c r="C173" t="s">
        <v>36</v>
      </c>
      <c r="D173" t="s">
        <v>10</v>
      </c>
      <c r="E173" t="s">
        <v>44</v>
      </c>
      <c r="F173" t="s">
        <v>33</v>
      </c>
      <c r="G173" s="13">
        <v>5</v>
      </c>
      <c r="J173" s="43"/>
      <c r="M173" s="13"/>
    </row>
    <row r="174" spans="2:13" x14ac:dyDescent="0.35">
      <c r="B174" s="43">
        <v>45640.289375</v>
      </c>
      <c r="C174" t="s">
        <v>36</v>
      </c>
      <c r="D174" t="s">
        <v>10</v>
      </c>
      <c r="E174" t="s">
        <v>44</v>
      </c>
      <c r="F174" t="s">
        <v>33</v>
      </c>
      <c r="G174" s="13">
        <v>5</v>
      </c>
      <c r="J174" s="43"/>
      <c r="M174" s="13"/>
    </row>
    <row r="175" spans="2:13" x14ac:dyDescent="0.35">
      <c r="B175" s="43">
        <v>45647.308611111112</v>
      </c>
      <c r="C175" t="s">
        <v>36</v>
      </c>
      <c r="D175" t="s">
        <v>10</v>
      </c>
      <c r="E175" t="s">
        <v>44</v>
      </c>
      <c r="F175" t="s">
        <v>33</v>
      </c>
      <c r="G175" s="13">
        <v>5</v>
      </c>
      <c r="J175" s="43"/>
      <c r="M175" s="13"/>
    </row>
    <row r="176" spans="2:13" x14ac:dyDescent="0.35">
      <c r="B176" s="43">
        <v>45654.327847222223</v>
      </c>
      <c r="C176" t="s">
        <v>36</v>
      </c>
      <c r="D176" t="s">
        <v>10</v>
      </c>
      <c r="E176" t="s">
        <v>44</v>
      </c>
      <c r="F176" t="s">
        <v>33</v>
      </c>
      <c r="G176" s="13">
        <v>5</v>
      </c>
      <c r="J176" s="43"/>
      <c r="M176" s="13"/>
    </row>
    <row r="177" spans="2:13" x14ac:dyDescent="0.35">
      <c r="B177" s="43">
        <v>45661.347083333334</v>
      </c>
      <c r="C177" t="s">
        <v>36</v>
      </c>
      <c r="D177" t="s">
        <v>10</v>
      </c>
      <c r="E177" t="s">
        <v>44</v>
      </c>
      <c r="F177" t="s">
        <v>33</v>
      </c>
      <c r="G177" s="13">
        <v>5</v>
      </c>
      <c r="J177" s="43"/>
      <c r="M177" s="13"/>
    </row>
    <row r="178" spans="2:13" x14ac:dyDescent="0.35">
      <c r="B178" s="43">
        <v>45668.366319444445</v>
      </c>
      <c r="C178" t="s">
        <v>36</v>
      </c>
      <c r="D178" t="s">
        <v>10</v>
      </c>
      <c r="E178" t="s">
        <v>44</v>
      </c>
      <c r="F178" t="s">
        <v>33</v>
      </c>
      <c r="G178" s="13">
        <v>5</v>
      </c>
      <c r="J178" s="43"/>
      <c r="M178" s="13"/>
    </row>
    <row r="179" spans="2:13" x14ac:dyDescent="0.35">
      <c r="B179" s="43">
        <v>45675.385555555556</v>
      </c>
      <c r="C179" t="s">
        <v>36</v>
      </c>
      <c r="D179" t="s">
        <v>10</v>
      </c>
      <c r="E179" t="s">
        <v>44</v>
      </c>
      <c r="F179" t="s">
        <v>33</v>
      </c>
      <c r="G179" s="13">
        <v>5</v>
      </c>
      <c r="J179" s="43"/>
      <c r="M179" s="13"/>
    </row>
    <row r="180" spans="2:13" x14ac:dyDescent="0.35">
      <c r="B180" s="43">
        <v>45682.404791666668</v>
      </c>
      <c r="C180" t="s">
        <v>36</v>
      </c>
      <c r="D180" t="s">
        <v>10</v>
      </c>
      <c r="E180" t="s">
        <v>44</v>
      </c>
      <c r="F180" t="s">
        <v>33</v>
      </c>
      <c r="G180" s="13">
        <v>5</v>
      </c>
      <c r="J180" s="1"/>
      <c r="M180" s="13"/>
    </row>
    <row r="181" spans="2:13" x14ac:dyDescent="0.35">
      <c r="B181" s="43">
        <v>45689.424027777779</v>
      </c>
      <c r="C181" t="s">
        <v>36</v>
      </c>
      <c r="D181" t="s">
        <v>10</v>
      </c>
      <c r="E181" t="s">
        <v>44</v>
      </c>
      <c r="F181" t="s">
        <v>33</v>
      </c>
      <c r="G181" s="13">
        <v>5</v>
      </c>
      <c r="J181" s="43"/>
      <c r="M181" s="13"/>
    </row>
    <row r="182" spans="2:13" x14ac:dyDescent="0.35">
      <c r="B182" s="43">
        <v>45696.44326388889</v>
      </c>
      <c r="C182" t="s">
        <v>36</v>
      </c>
      <c r="D182" t="s">
        <v>10</v>
      </c>
      <c r="E182" t="s">
        <v>44</v>
      </c>
      <c r="F182" t="s">
        <v>33</v>
      </c>
      <c r="G182" s="13">
        <v>5</v>
      </c>
      <c r="J182" s="43"/>
      <c r="M182" s="13"/>
    </row>
    <row r="183" spans="2:13" x14ac:dyDescent="0.35">
      <c r="B183" s="43">
        <v>45703.462500000001</v>
      </c>
      <c r="C183" t="s">
        <v>36</v>
      </c>
      <c r="D183" t="s">
        <v>10</v>
      </c>
      <c r="E183" t="s">
        <v>44</v>
      </c>
      <c r="F183" t="s">
        <v>33</v>
      </c>
      <c r="G183" s="13">
        <v>5</v>
      </c>
      <c r="J183" s="43"/>
      <c r="M183" s="13"/>
    </row>
    <row r="184" spans="2:13" x14ac:dyDescent="0.35">
      <c r="B184" s="43">
        <v>45710.481736111113</v>
      </c>
      <c r="C184" t="s">
        <v>36</v>
      </c>
      <c r="D184" t="s">
        <v>10</v>
      </c>
      <c r="E184" t="s">
        <v>44</v>
      </c>
      <c r="F184" t="s">
        <v>33</v>
      </c>
      <c r="G184" s="13">
        <v>5</v>
      </c>
      <c r="J184" s="43"/>
      <c r="M184" s="13"/>
    </row>
    <row r="185" spans="2:13" x14ac:dyDescent="0.35">
      <c r="B185" s="43">
        <v>45717.500972222224</v>
      </c>
      <c r="C185" t="s">
        <v>36</v>
      </c>
      <c r="D185" t="s">
        <v>10</v>
      </c>
      <c r="E185" t="s">
        <v>44</v>
      </c>
      <c r="F185" t="s">
        <v>33</v>
      </c>
      <c r="G185" s="13">
        <v>5</v>
      </c>
      <c r="J185" s="43"/>
      <c r="M185" s="13"/>
    </row>
    <row r="186" spans="2:13" x14ac:dyDescent="0.35">
      <c r="B186" s="43">
        <v>45724.520208333335</v>
      </c>
      <c r="C186" t="s">
        <v>36</v>
      </c>
      <c r="D186" t="s">
        <v>10</v>
      </c>
      <c r="E186" t="s">
        <v>44</v>
      </c>
      <c r="F186" t="s">
        <v>33</v>
      </c>
      <c r="G186" s="13">
        <v>5</v>
      </c>
      <c r="J186" s="43"/>
      <c r="M186" s="13"/>
    </row>
    <row r="187" spans="2:13" x14ac:dyDescent="0.35">
      <c r="B187" s="43">
        <v>45731.539444444446</v>
      </c>
      <c r="C187" t="s">
        <v>36</v>
      </c>
      <c r="D187" t="s">
        <v>10</v>
      </c>
      <c r="E187" t="s">
        <v>44</v>
      </c>
      <c r="F187" t="s">
        <v>33</v>
      </c>
      <c r="G187" s="13">
        <v>5</v>
      </c>
      <c r="J187" s="43"/>
      <c r="M187" s="13"/>
    </row>
    <row r="188" spans="2:13" x14ac:dyDescent="0.35">
      <c r="B188" s="43">
        <v>45738.558680555558</v>
      </c>
      <c r="C188" t="s">
        <v>36</v>
      </c>
      <c r="D188" t="s">
        <v>10</v>
      </c>
      <c r="E188" t="s">
        <v>44</v>
      </c>
      <c r="F188" t="s">
        <v>33</v>
      </c>
      <c r="G188" s="13">
        <v>5</v>
      </c>
      <c r="J188" s="43"/>
      <c r="M188" s="13"/>
    </row>
    <row r="189" spans="2:13" x14ac:dyDescent="0.35">
      <c r="B189" s="43">
        <v>45745.577916666669</v>
      </c>
      <c r="C189" t="s">
        <v>36</v>
      </c>
      <c r="D189" t="s">
        <v>10</v>
      </c>
      <c r="E189" t="s">
        <v>44</v>
      </c>
      <c r="F189" t="s">
        <v>33</v>
      </c>
      <c r="G189" s="13">
        <v>5</v>
      </c>
      <c r="J189" s="43"/>
      <c r="M189" s="13"/>
    </row>
    <row r="190" spans="2:13" x14ac:dyDescent="0.35">
      <c r="B190" s="43">
        <v>45752.59715277778</v>
      </c>
      <c r="C190" t="s">
        <v>36</v>
      </c>
      <c r="D190" t="s">
        <v>10</v>
      </c>
      <c r="E190" t="s">
        <v>44</v>
      </c>
      <c r="F190" t="s">
        <v>33</v>
      </c>
      <c r="G190" s="13">
        <v>5</v>
      </c>
      <c r="J190" s="43"/>
      <c r="M190" s="13"/>
    </row>
    <row r="191" spans="2:13" x14ac:dyDescent="0.35">
      <c r="B191" s="43">
        <v>45759.616388888891</v>
      </c>
      <c r="C191" t="s">
        <v>36</v>
      </c>
      <c r="D191" t="s">
        <v>10</v>
      </c>
      <c r="E191" t="s">
        <v>44</v>
      </c>
      <c r="F191" t="s">
        <v>33</v>
      </c>
      <c r="G191" s="13">
        <v>5</v>
      </c>
      <c r="J191" s="43"/>
      <c r="M191" s="13"/>
    </row>
    <row r="192" spans="2:13" x14ac:dyDescent="0.35">
      <c r="B192" s="43">
        <v>45766.635625000003</v>
      </c>
      <c r="C192" t="s">
        <v>36</v>
      </c>
      <c r="D192" t="s">
        <v>10</v>
      </c>
      <c r="E192" t="s">
        <v>44</v>
      </c>
      <c r="F192" t="s">
        <v>33</v>
      </c>
      <c r="G192" s="13">
        <v>5</v>
      </c>
      <c r="J192" s="43"/>
      <c r="M192" s="13"/>
    </row>
    <row r="193" spans="2:13" x14ac:dyDescent="0.35">
      <c r="B193" s="43">
        <v>45773.654861111114</v>
      </c>
      <c r="C193" t="s">
        <v>36</v>
      </c>
      <c r="D193" t="s">
        <v>10</v>
      </c>
      <c r="E193" t="s">
        <v>44</v>
      </c>
      <c r="F193" t="s">
        <v>33</v>
      </c>
      <c r="G193" s="13">
        <v>5</v>
      </c>
      <c r="J193" s="43"/>
      <c r="M193" s="13"/>
    </row>
    <row r="194" spans="2:13" x14ac:dyDescent="0.35">
      <c r="B194" s="43">
        <v>45780.674097222225</v>
      </c>
      <c r="C194" t="s">
        <v>36</v>
      </c>
      <c r="D194" t="s">
        <v>10</v>
      </c>
      <c r="E194" t="s">
        <v>44</v>
      </c>
      <c r="F194" t="s">
        <v>33</v>
      </c>
      <c r="G194" s="13">
        <v>5</v>
      </c>
      <c r="J194" s="43"/>
      <c r="M194" s="13"/>
    </row>
    <row r="195" spans="2:13" x14ac:dyDescent="0.35">
      <c r="B195" s="43">
        <v>45787.693333333336</v>
      </c>
      <c r="C195" t="s">
        <v>36</v>
      </c>
      <c r="D195" t="s">
        <v>10</v>
      </c>
      <c r="E195" t="s">
        <v>44</v>
      </c>
      <c r="F195" t="s">
        <v>33</v>
      </c>
      <c r="G195" s="13">
        <v>5</v>
      </c>
      <c r="J195" s="43"/>
      <c r="M195" s="13"/>
    </row>
    <row r="196" spans="2:13" x14ac:dyDescent="0.35">
      <c r="B196" s="43">
        <v>45794.712569444448</v>
      </c>
      <c r="C196" t="s">
        <v>36</v>
      </c>
      <c r="D196" t="s">
        <v>10</v>
      </c>
      <c r="E196" t="s">
        <v>44</v>
      </c>
      <c r="F196" t="s">
        <v>33</v>
      </c>
      <c r="G196" s="13">
        <v>5</v>
      </c>
      <c r="J196" s="43"/>
      <c r="M196" s="13"/>
    </row>
    <row r="197" spans="2:13" x14ac:dyDescent="0.35">
      <c r="B197" s="43">
        <v>45801.731805555559</v>
      </c>
      <c r="C197" t="s">
        <v>36</v>
      </c>
      <c r="D197" t="s">
        <v>10</v>
      </c>
      <c r="E197" t="s">
        <v>44</v>
      </c>
      <c r="F197" t="s">
        <v>33</v>
      </c>
      <c r="G197" s="13">
        <v>5</v>
      </c>
      <c r="J197" s="43"/>
      <c r="M197" s="13"/>
    </row>
    <row r="198" spans="2:13" x14ac:dyDescent="0.35">
      <c r="B198" s="43">
        <v>45808.75104166667</v>
      </c>
      <c r="C198" t="s">
        <v>36</v>
      </c>
      <c r="D198" t="s">
        <v>10</v>
      </c>
      <c r="E198" t="s">
        <v>44</v>
      </c>
      <c r="F198" t="s">
        <v>33</v>
      </c>
      <c r="G198" s="13">
        <v>5</v>
      </c>
      <c r="J198" s="43"/>
      <c r="M198" s="13"/>
    </row>
    <row r="199" spans="2:13" x14ac:dyDescent="0.35">
      <c r="B199" s="43">
        <v>45815.770277777781</v>
      </c>
      <c r="C199" t="s">
        <v>36</v>
      </c>
      <c r="D199" t="s">
        <v>10</v>
      </c>
      <c r="E199" t="s">
        <v>44</v>
      </c>
      <c r="F199" t="s">
        <v>33</v>
      </c>
      <c r="G199" s="13">
        <v>5</v>
      </c>
      <c r="J199" s="43"/>
      <c r="M199" s="13"/>
    </row>
    <row r="200" spans="2:13" x14ac:dyDescent="0.35">
      <c r="B200" s="43">
        <v>45822.789513888885</v>
      </c>
      <c r="C200" t="s">
        <v>36</v>
      </c>
      <c r="D200" t="s">
        <v>10</v>
      </c>
      <c r="E200" t="s">
        <v>44</v>
      </c>
      <c r="F200" t="s">
        <v>33</v>
      </c>
      <c r="G200" s="13">
        <v>5</v>
      </c>
      <c r="J200" s="43"/>
      <c r="M200" s="13"/>
    </row>
    <row r="201" spans="2:13" x14ac:dyDescent="0.35">
      <c r="B201" s="43">
        <v>45829.808749999997</v>
      </c>
      <c r="C201" t="s">
        <v>36</v>
      </c>
      <c r="D201" t="s">
        <v>10</v>
      </c>
      <c r="E201" t="s">
        <v>44</v>
      </c>
      <c r="F201" t="s">
        <v>33</v>
      </c>
      <c r="G201" s="13">
        <v>5</v>
      </c>
      <c r="J201" s="43"/>
      <c r="M201" s="13"/>
    </row>
    <row r="202" spans="2:13" x14ac:dyDescent="0.35">
      <c r="B202" s="43">
        <v>45836.827986111108</v>
      </c>
      <c r="C202" t="s">
        <v>36</v>
      </c>
      <c r="D202" t="s">
        <v>10</v>
      </c>
      <c r="E202" t="s">
        <v>44</v>
      </c>
      <c r="F202" t="s">
        <v>33</v>
      </c>
      <c r="G202" s="13">
        <v>5</v>
      </c>
      <c r="J202" s="43"/>
      <c r="M202" s="13"/>
    </row>
    <row r="203" spans="2:13" x14ac:dyDescent="0.35">
      <c r="B203" s="43">
        <v>45843.847222222219</v>
      </c>
      <c r="C203" t="s">
        <v>36</v>
      </c>
      <c r="D203" t="s">
        <v>10</v>
      </c>
      <c r="E203" t="s">
        <v>44</v>
      </c>
      <c r="F203" t="s">
        <v>33</v>
      </c>
      <c r="G203" s="13">
        <v>5</v>
      </c>
      <c r="J203" s="43"/>
      <c r="M203" s="13"/>
    </row>
    <row r="204" spans="2:13" x14ac:dyDescent="0.35">
      <c r="B204" s="43">
        <v>45850.86645833333</v>
      </c>
      <c r="C204" t="s">
        <v>36</v>
      </c>
      <c r="D204" t="s">
        <v>10</v>
      </c>
      <c r="E204" t="s">
        <v>44</v>
      </c>
      <c r="F204" t="s">
        <v>33</v>
      </c>
      <c r="G204" s="13">
        <v>5</v>
      </c>
      <c r="J204" s="43"/>
      <c r="M204" s="13"/>
    </row>
    <row r="205" spans="2:13" x14ac:dyDescent="0.35">
      <c r="B205" s="43">
        <v>45857.885694444441</v>
      </c>
      <c r="C205" t="s">
        <v>36</v>
      </c>
      <c r="D205" t="s">
        <v>10</v>
      </c>
      <c r="E205" t="s">
        <v>44</v>
      </c>
      <c r="F205" t="s">
        <v>33</v>
      </c>
      <c r="G205" s="13">
        <v>5</v>
      </c>
      <c r="J205" s="43"/>
      <c r="M205" s="13"/>
    </row>
    <row r="206" spans="2:13" x14ac:dyDescent="0.35">
      <c r="B206" s="43">
        <v>45864.904930555553</v>
      </c>
      <c r="C206" t="s">
        <v>36</v>
      </c>
      <c r="D206" t="s">
        <v>10</v>
      </c>
      <c r="E206" t="s">
        <v>44</v>
      </c>
      <c r="F206" t="s">
        <v>33</v>
      </c>
      <c r="G206" s="13">
        <v>5</v>
      </c>
      <c r="J206" s="43"/>
      <c r="M206" s="13"/>
    </row>
    <row r="207" spans="2:13" x14ac:dyDescent="0.35">
      <c r="B207" s="43">
        <v>45871.924166666664</v>
      </c>
      <c r="C207" t="s">
        <v>36</v>
      </c>
      <c r="D207" t="s">
        <v>10</v>
      </c>
      <c r="E207" t="s">
        <v>44</v>
      </c>
      <c r="F207" t="s">
        <v>33</v>
      </c>
      <c r="G207" s="13">
        <v>5</v>
      </c>
      <c r="J207" s="43"/>
      <c r="M207" s="13"/>
    </row>
    <row r="208" spans="2:13" x14ac:dyDescent="0.35">
      <c r="B208" s="43">
        <v>45878.943402777775</v>
      </c>
      <c r="C208" t="s">
        <v>36</v>
      </c>
      <c r="D208" t="s">
        <v>10</v>
      </c>
      <c r="E208" t="s">
        <v>44</v>
      </c>
      <c r="F208" t="s">
        <v>33</v>
      </c>
      <c r="G208" s="13">
        <v>5</v>
      </c>
      <c r="J208" s="43"/>
      <c r="M208" s="13"/>
    </row>
    <row r="209" spans="2:13" x14ac:dyDescent="0.35">
      <c r="B209" s="43">
        <v>45885.962638888886</v>
      </c>
      <c r="C209" t="s">
        <v>36</v>
      </c>
      <c r="D209" t="s">
        <v>10</v>
      </c>
      <c r="E209" t="s">
        <v>44</v>
      </c>
      <c r="F209" t="s">
        <v>33</v>
      </c>
      <c r="G209" s="13">
        <v>5</v>
      </c>
      <c r="J209" s="43"/>
      <c r="M209" s="13"/>
    </row>
    <row r="210" spans="2:13" x14ac:dyDescent="0.35">
      <c r="B210" s="43">
        <v>45892.981874999998</v>
      </c>
      <c r="C210" t="s">
        <v>36</v>
      </c>
      <c r="D210" t="s">
        <v>10</v>
      </c>
      <c r="E210" t="s">
        <v>44</v>
      </c>
      <c r="F210" t="s">
        <v>33</v>
      </c>
      <c r="G210" s="13">
        <v>5</v>
      </c>
      <c r="J210" s="43"/>
      <c r="M210" s="13"/>
    </row>
    <row r="211" spans="2:13" x14ac:dyDescent="0.35">
      <c r="B211" s="43">
        <v>45900.001111111109</v>
      </c>
      <c r="C211" t="s">
        <v>36</v>
      </c>
      <c r="D211" t="s">
        <v>10</v>
      </c>
      <c r="E211" t="s">
        <v>44</v>
      </c>
      <c r="F211" t="s">
        <v>33</v>
      </c>
      <c r="G211" s="13">
        <v>5</v>
      </c>
      <c r="J211" s="43"/>
      <c r="M211" s="13"/>
    </row>
    <row r="212" spans="2:13" x14ac:dyDescent="0.35">
      <c r="B212" s="43">
        <v>45907.02034722222</v>
      </c>
      <c r="C212" t="s">
        <v>36</v>
      </c>
      <c r="D212" t="s">
        <v>10</v>
      </c>
      <c r="E212" t="s">
        <v>44</v>
      </c>
      <c r="F212" t="s">
        <v>33</v>
      </c>
      <c r="G212" s="13">
        <v>5</v>
      </c>
      <c r="J212" s="43"/>
      <c r="M212" s="13"/>
    </row>
    <row r="213" spans="2:13" x14ac:dyDescent="0.35">
      <c r="B213" s="43">
        <v>45914.039583333331</v>
      </c>
      <c r="C213" t="s">
        <v>36</v>
      </c>
      <c r="D213" t="s">
        <v>10</v>
      </c>
      <c r="E213" t="s">
        <v>44</v>
      </c>
      <c r="F213" t="s">
        <v>33</v>
      </c>
      <c r="G213" s="13">
        <v>5</v>
      </c>
      <c r="J213" s="43"/>
      <c r="M213" s="13"/>
    </row>
    <row r="214" spans="2:13" x14ac:dyDescent="0.35">
      <c r="B214" s="43">
        <v>45921.058819444443</v>
      </c>
      <c r="C214" t="s">
        <v>36</v>
      </c>
      <c r="D214" t="s">
        <v>10</v>
      </c>
      <c r="E214" t="s">
        <v>44</v>
      </c>
      <c r="F214" t="s">
        <v>33</v>
      </c>
      <c r="G214" s="13">
        <v>5</v>
      </c>
      <c r="J214" s="43"/>
      <c r="M214" s="13"/>
    </row>
    <row r="215" spans="2:13" x14ac:dyDescent="0.35">
      <c r="B215" s="43">
        <v>45928.078055555554</v>
      </c>
      <c r="C215" t="s">
        <v>36</v>
      </c>
      <c r="D215" t="s">
        <v>10</v>
      </c>
      <c r="E215" t="s">
        <v>44</v>
      </c>
      <c r="F215" t="s">
        <v>33</v>
      </c>
      <c r="G215" s="13">
        <v>5</v>
      </c>
      <c r="J215" s="43"/>
      <c r="M215" s="13"/>
    </row>
    <row r="216" spans="2:13" x14ac:dyDescent="0.35">
      <c r="B216" s="43">
        <v>45935.097291666665</v>
      </c>
      <c r="C216" t="s">
        <v>36</v>
      </c>
      <c r="D216" t="s">
        <v>10</v>
      </c>
      <c r="E216" t="s">
        <v>44</v>
      </c>
      <c r="F216" t="s">
        <v>33</v>
      </c>
      <c r="G216" s="13">
        <v>5</v>
      </c>
      <c r="J216" s="43"/>
      <c r="M216" s="13"/>
    </row>
    <row r="217" spans="2:13" x14ac:dyDescent="0.35">
      <c r="B217" s="43">
        <v>45942.116527777776</v>
      </c>
      <c r="C217" t="s">
        <v>36</v>
      </c>
      <c r="D217" t="s">
        <v>10</v>
      </c>
      <c r="E217" t="s">
        <v>44</v>
      </c>
      <c r="F217" t="s">
        <v>33</v>
      </c>
      <c r="G217" s="13">
        <v>5</v>
      </c>
      <c r="J217" s="43"/>
      <c r="M217" s="13"/>
    </row>
    <row r="218" spans="2:13" x14ac:dyDescent="0.35">
      <c r="B218" s="43">
        <v>45949.135763888888</v>
      </c>
      <c r="C218" t="s">
        <v>36</v>
      </c>
      <c r="D218" t="s">
        <v>10</v>
      </c>
      <c r="E218" t="s">
        <v>44</v>
      </c>
      <c r="F218" t="s">
        <v>33</v>
      </c>
      <c r="G218" s="13">
        <v>5</v>
      </c>
      <c r="J218" s="43"/>
      <c r="M218" s="13"/>
    </row>
    <row r="219" spans="2:13" x14ac:dyDescent="0.35">
      <c r="B219" s="43">
        <v>45956.154999999999</v>
      </c>
      <c r="C219" t="s">
        <v>36</v>
      </c>
      <c r="D219" t="s">
        <v>10</v>
      </c>
      <c r="E219" t="s">
        <v>44</v>
      </c>
      <c r="F219" t="s">
        <v>33</v>
      </c>
      <c r="G219" s="13">
        <v>5</v>
      </c>
      <c r="J219" s="43"/>
      <c r="M219" s="13"/>
    </row>
    <row r="220" spans="2:13" x14ac:dyDescent="0.35">
      <c r="B220" s="43">
        <v>45963.17423611111</v>
      </c>
      <c r="C220" t="s">
        <v>36</v>
      </c>
      <c r="D220" t="s">
        <v>10</v>
      </c>
      <c r="E220" t="s">
        <v>44</v>
      </c>
      <c r="F220" t="s">
        <v>33</v>
      </c>
      <c r="G220" s="13">
        <v>5</v>
      </c>
      <c r="J220" s="43"/>
      <c r="M220" s="13"/>
    </row>
    <row r="221" spans="2:13" x14ac:dyDescent="0.35">
      <c r="B221" s="43">
        <v>45970.193472222221</v>
      </c>
      <c r="C221" t="s">
        <v>36</v>
      </c>
      <c r="D221" t="s">
        <v>10</v>
      </c>
      <c r="E221" t="s">
        <v>44</v>
      </c>
      <c r="F221" t="s">
        <v>33</v>
      </c>
      <c r="G221" s="13">
        <v>5</v>
      </c>
      <c r="J221" s="43"/>
      <c r="M221" s="13"/>
    </row>
    <row r="222" spans="2:13" x14ac:dyDescent="0.35">
      <c r="B222" s="43">
        <v>45977.212708333333</v>
      </c>
      <c r="C222" t="s">
        <v>36</v>
      </c>
      <c r="D222" t="s">
        <v>10</v>
      </c>
      <c r="E222" t="s">
        <v>44</v>
      </c>
      <c r="F222" t="s">
        <v>33</v>
      </c>
      <c r="G222" s="13">
        <v>5</v>
      </c>
      <c r="J222" s="43"/>
      <c r="M222" s="13"/>
    </row>
    <row r="223" spans="2:13" x14ac:dyDescent="0.35">
      <c r="B223" s="43">
        <v>45984.231944444444</v>
      </c>
      <c r="C223" t="s">
        <v>36</v>
      </c>
      <c r="D223" t="s">
        <v>10</v>
      </c>
      <c r="E223" t="s">
        <v>44</v>
      </c>
      <c r="F223" t="s">
        <v>33</v>
      </c>
      <c r="G223" s="13">
        <v>5</v>
      </c>
      <c r="J223" s="43"/>
      <c r="M223" s="13"/>
    </row>
    <row r="224" spans="2:13" x14ac:dyDescent="0.35">
      <c r="B224" s="43">
        <v>45991.251180555555</v>
      </c>
      <c r="C224" t="s">
        <v>36</v>
      </c>
      <c r="D224" t="s">
        <v>10</v>
      </c>
      <c r="E224" t="s">
        <v>44</v>
      </c>
      <c r="F224" t="s">
        <v>33</v>
      </c>
      <c r="G224" s="13">
        <v>5</v>
      </c>
      <c r="J224" s="43"/>
      <c r="M224" s="13"/>
    </row>
    <row r="225" spans="2:13" x14ac:dyDescent="0.35">
      <c r="B225" s="43">
        <v>45998.270416666666</v>
      </c>
      <c r="C225" t="s">
        <v>36</v>
      </c>
      <c r="D225" t="s">
        <v>10</v>
      </c>
      <c r="E225" t="s">
        <v>44</v>
      </c>
      <c r="F225" t="s">
        <v>33</v>
      </c>
      <c r="G225" s="13">
        <v>5</v>
      </c>
      <c r="J225" s="43"/>
      <c r="M225" s="13"/>
    </row>
    <row r="226" spans="2:13" x14ac:dyDescent="0.35">
      <c r="B226" s="43">
        <v>46005.289652777778</v>
      </c>
      <c r="C226" t="s">
        <v>36</v>
      </c>
      <c r="D226" t="s">
        <v>10</v>
      </c>
      <c r="E226" t="s">
        <v>44</v>
      </c>
      <c r="F226" t="s">
        <v>33</v>
      </c>
      <c r="G226" s="13">
        <v>5</v>
      </c>
      <c r="J226" s="43"/>
      <c r="M226" s="13"/>
    </row>
    <row r="227" spans="2:13" x14ac:dyDescent="0.35">
      <c r="B227" s="43">
        <v>46012.308888888889</v>
      </c>
      <c r="C227" t="s">
        <v>36</v>
      </c>
      <c r="D227" t="s">
        <v>10</v>
      </c>
      <c r="E227" t="s">
        <v>44</v>
      </c>
      <c r="F227" t="s">
        <v>33</v>
      </c>
      <c r="G227" s="13">
        <v>5</v>
      </c>
      <c r="J227" s="43"/>
      <c r="M227" s="13"/>
    </row>
    <row r="228" spans="2:13" x14ac:dyDescent="0.35">
      <c r="B228" s="43">
        <v>46019.328125</v>
      </c>
      <c r="C228" t="s">
        <v>36</v>
      </c>
      <c r="D228" t="s">
        <v>10</v>
      </c>
      <c r="E228" t="s">
        <v>44</v>
      </c>
      <c r="F228" t="s">
        <v>33</v>
      </c>
      <c r="G228" s="13">
        <v>5</v>
      </c>
      <c r="J228" s="43"/>
      <c r="M228" s="13"/>
    </row>
    <row r="229" spans="2:13" x14ac:dyDescent="0.35">
      <c r="B229" s="43">
        <v>46026.347361111111</v>
      </c>
      <c r="C229" t="s">
        <v>36</v>
      </c>
      <c r="D229" t="s">
        <v>10</v>
      </c>
      <c r="E229" t="s">
        <v>44</v>
      </c>
      <c r="F229" t="s">
        <v>33</v>
      </c>
      <c r="G229" s="13">
        <v>5</v>
      </c>
      <c r="J229" s="43"/>
      <c r="M229" s="13"/>
    </row>
    <row r="230" spans="2:13" x14ac:dyDescent="0.35">
      <c r="B230" s="43">
        <v>46033.366597222222</v>
      </c>
      <c r="C230" t="s">
        <v>36</v>
      </c>
      <c r="D230" t="s">
        <v>10</v>
      </c>
      <c r="E230" t="s">
        <v>44</v>
      </c>
      <c r="F230" t="s">
        <v>33</v>
      </c>
      <c r="G230" s="13">
        <v>5</v>
      </c>
      <c r="J230" s="43"/>
      <c r="M230" s="13"/>
    </row>
    <row r="231" spans="2:13" x14ac:dyDescent="0.35">
      <c r="B231" s="43">
        <v>46040.385833333334</v>
      </c>
      <c r="C231" t="s">
        <v>36</v>
      </c>
      <c r="D231" t="s">
        <v>10</v>
      </c>
      <c r="E231" t="s">
        <v>44</v>
      </c>
      <c r="F231" t="s">
        <v>33</v>
      </c>
      <c r="G231" s="13">
        <v>5</v>
      </c>
      <c r="J231" s="43"/>
      <c r="M231" s="13"/>
    </row>
    <row r="232" spans="2:13" x14ac:dyDescent="0.35">
      <c r="B232" s="43">
        <v>46047.405069444445</v>
      </c>
      <c r="C232" t="s">
        <v>36</v>
      </c>
      <c r="D232" t="s">
        <v>10</v>
      </c>
      <c r="E232" t="s">
        <v>44</v>
      </c>
      <c r="F232" t="s">
        <v>33</v>
      </c>
      <c r="G232" s="13">
        <v>5</v>
      </c>
      <c r="J232" s="43"/>
      <c r="M232" s="13"/>
    </row>
    <row r="233" spans="2:13" x14ac:dyDescent="0.35">
      <c r="B233" s="1">
        <v>46054.424305555556</v>
      </c>
      <c r="C233" t="s">
        <v>36</v>
      </c>
      <c r="D233" t="s">
        <v>10</v>
      </c>
      <c r="E233" t="s">
        <v>44</v>
      </c>
      <c r="F233" t="s">
        <v>33</v>
      </c>
      <c r="G233" s="13">
        <v>5</v>
      </c>
      <c r="J233" s="43"/>
      <c r="M233" s="13"/>
    </row>
    <row r="234" spans="2:13" x14ac:dyDescent="0.35">
      <c r="B234" s="43">
        <v>46061.443541666667</v>
      </c>
      <c r="C234" t="s">
        <v>36</v>
      </c>
      <c r="D234" t="s">
        <v>10</v>
      </c>
      <c r="E234" t="s">
        <v>44</v>
      </c>
      <c r="F234" t="s">
        <v>33</v>
      </c>
      <c r="G234" s="13">
        <v>5</v>
      </c>
      <c r="J234" s="43"/>
      <c r="M234" s="13"/>
    </row>
    <row r="235" spans="2:13" x14ac:dyDescent="0.35">
      <c r="B235" s="43">
        <v>46068.462777777779</v>
      </c>
      <c r="C235" t="s">
        <v>36</v>
      </c>
      <c r="D235" t="s">
        <v>10</v>
      </c>
      <c r="E235" t="s">
        <v>44</v>
      </c>
      <c r="F235" t="s">
        <v>33</v>
      </c>
      <c r="G235" s="13">
        <v>5</v>
      </c>
      <c r="J235" s="43"/>
      <c r="M235" s="13"/>
    </row>
    <row r="236" spans="2:13" x14ac:dyDescent="0.35">
      <c r="B236" s="43">
        <v>46075.48201388889</v>
      </c>
      <c r="C236" t="s">
        <v>36</v>
      </c>
      <c r="D236" t="s">
        <v>10</v>
      </c>
      <c r="E236" t="s">
        <v>44</v>
      </c>
      <c r="F236" t="s">
        <v>33</v>
      </c>
      <c r="G236" s="13">
        <v>5</v>
      </c>
      <c r="J236" s="43"/>
      <c r="M236" s="13"/>
    </row>
    <row r="237" spans="2:13" x14ac:dyDescent="0.35">
      <c r="B237" s="43">
        <v>46082.501250000001</v>
      </c>
      <c r="C237" t="s">
        <v>36</v>
      </c>
      <c r="D237" t="s">
        <v>10</v>
      </c>
      <c r="E237" t="s">
        <v>44</v>
      </c>
      <c r="F237" t="s">
        <v>33</v>
      </c>
      <c r="G237" s="13">
        <v>5</v>
      </c>
      <c r="J237" s="43"/>
      <c r="M237" s="13"/>
    </row>
    <row r="238" spans="2:13" x14ac:dyDescent="0.35">
      <c r="B238" s="43">
        <v>46089.520486111112</v>
      </c>
      <c r="C238" t="s">
        <v>36</v>
      </c>
      <c r="D238" t="s">
        <v>10</v>
      </c>
      <c r="E238" t="s">
        <v>44</v>
      </c>
      <c r="F238" t="s">
        <v>33</v>
      </c>
      <c r="G238" s="13">
        <v>5</v>
      </c>
      <c r="J238" s="43"/>
      <c r="M238" s="13"/>
    </row>
    <row r="239" spans="2:13" x14ac:dyDescent="0.35">
      <c r="B239" s="43">
        <v>46096.539722222224</v>
      </c>
      <c r="C239" t="s">
        <v>36</v>
      </c>
      <c r="D239" t="s">
        <v>10</v>
      </c>
      <c r="E239" t="s">
        <v>44</v>
      </c>
      <c r="F239" t="s">
        <v>33</v>
      </c>
      <c r="G239" s="13">
        <v>5</v>
      </c>
      <c r="J239" s="43"/>
      <c r="M239" s="13"/>
    </row>
    <row r="240" spans="2:13" x14ac:dyDescent="0.35">
      <c r="B240" s="1">
        <v>46103.558958333335</v>
      </c>
      <c r="C240" t="s">
        <v>36</v>
      </c>
      <c r="D240" t="s">
        <v>10</v>
      </c>
      <c r="E240" t="s">
        <v>44</v>
      </c>
      <c r="F240" t="s">
        <v>33</v>
      </c>
      <c r="G240" s="13">
        <v>5</v>
      </c>
      <c r="J240" s="43"/>
      <c r="M240" s="13"/>
    </row>
    <row r="241" spans="2:13" x14ac:dyDescent="0.35">
      <c r="B241" s="43">
        <v>46110.578194444446</v>
      </c>
      <c r="C241" t="s">
        <v>36</v>
      </c>
      <c r="D241" t="s">
        <v>10</v>
      </c>
      <c r="E241" t="s">
        <v>44</v>
      </c>
      <c r="F241" t="s">
        <v>33</v>
      </c>
      <c r="G241" s="13">
        <v>5</v>
      </c>
      <c r="J241" s="43"/>
      <c r="M241" s="13"/>
    </row>
    <row r="242" spans="2:13" x14ac:dyDescent="0.35">
      <c r="B242" s="1">
        <v>44440</v>
      </c>
      <c r="C242" t="s">
        <v>56</v>
      </c>
      <c r="D242" t="s">
        <v>11</v>
      </c>
      <c r="E242" t="s">
        <v>57</v>
      </c>
      <c r="F242" t="s">
        <v>35</v>
      </c>
      <c r="G242" s="13">
        <v>200</v>
      </c>
      <c r="J242" s="43"/>
      <c r="M242" s="13"/>
    </row>
    <row r="243" spans="2:13" x14ac:dyDescent="0.35">
      <c r="B243" s="43">
        <v>44622.5</v>
      </c>
      <c r="C243" t="s">
        <v>56</v>
      </c>
      <c r="D243" t="s">
        <v>11</v>
      </c>
      <c r="E243" t="s">
        <v>57</v>
      </c>
      <c r="F243" t="s">
        <v>35</v>
      </c>
      <c r="G243" s="13">
        <v>200</v>
      </c>
      <c r="J243" s="43"/>
      <c r="M243" s="13"/>
    </row>
    <row r="244" spans="2:13" x14ac:dyDescent="0.35">
      <c r="B244" s="43">
        <v>44805</v>
      </c>
      <c r="C244" t="s">
        <v>56</v>
      </c>
      <c r="D244" t="s">
        <v>11</v>
      </c>
      <c r="E244" t="s">
        <v>57</v>
      </c>
      <c r="F244" t="s">
        <v>35</v>
      </c>
      <c r="G244" s="13">
        <v>200</v>
      </c>
      <c r="J244" s="43"/>
      <c r="M244" s="13"/>
    </row>
    <row r="245" spans="2:13" x14ac:dyDescent="0.35">
      <c r="B245" s="43">
        <v>44987.5</v>
      </c>
      <c r="C245" t="s">
        <v>56</v>
      </c>
      <c r="D245" t="s">
        <v>11</v>
      </c>
      <c r="E245" t="s">
        <v>57</v>
      </c>
      <c r="F245" t="s">
        <v>35</v>
      </c>
      <c r="G245" s="13">
        <v>200</v>
      </c>
      <c r="J245" s="43"/>
      <c r="M245" s="13"/>
    </row>
    <row r="246" spans="2:13" x14ac:dyDescent="0.35">
      <c r="B246" s="43">
        <v>45170</v>
      </c>
      <c r="C246" t="s">
        <v>56</v>
      </c>
      <c r="D246" t="s">
        <v>11</v>
      </c>
      <c r="E246" t="s">
        <v>57</v>
      </c>
      <c r="F246" t="s">
        <v>35</v>
      </c>
      <c r="G246" s="13">
        <v>200</v>
      </c>
      <c r="J246" s="43"/>
      <c r="M246" s="13"/>
    </row>
    <row r="247" spans="2:13" x14ac:dyDescent="0.35">
      <c r="B247" s="43">
        <v>45352.5</v>
      </c>
      <c r="C247" t="s">
        <v>56</v>
      </c>
      <c r="D247" t="s">
        <v>11</v>
      </c>
      <c r="E247" t="s">
        <v>57</v>
      </c>
      <c r="F247" t="s">
        <v>35</v>
      </c>
      <c r="G247" s="13">
        <v>200</v>
      </c>
      <c r="J247" s="43"/>
      <c r="M247" s="13"/>
    </row>
    <row r="248" spans="2:13" x14ac:dyDescent="0.35">
      <c r="B248" s="43">
        <v>45535</v>
      </c>
      <c r="C248" t="s">
        <v>56</v>
      </c>
      <c r="D248" t="s">
        <v>11</v>
      </c>
      <c r="E248" t="s">
        <v>57</v>
      </c>
      <c r="F248" t="s">
        <v>35</v>
      </c>
      <c r="G248" s="13">
        <v>200</v>
      </c>
      <c r="J248" s="43"/>
      <c r="M248" s="13"/>
    </row>
    <row r="249" spans="2:13" x14ac:dyDescent="0.35">
      <c r="B249" s="43">
        <v>45717.5</v>
      </c>
      <c r="C249" t="s">
        <v>56</v>
      </c>
      <c r="D249" t="s">
        <v>11</v>
      </c>
      <c r="E249" t="s">
        <v>57</v>
      </c>
      <c r="F249" t="s">
        <v>35</v>
      </c>
      <c r="G249" s="13">
        <v>200</v>
      </c>
      <c r="J249" s="43"/>
      <c r="M249" s="13"/>
    </row>
    <row r="250" spans="2:13" x14ac:dyDescent="0.35">
      <c r="B250" s="43">
        <v>45900</v>
      </c>
      <c r="C250" t="s">
        <v>56</v>
      </c>
      <c r="D250" t="s">
        <v>11</v>
      </c>
      <c r="E250" t="s">
        <v>57</v>
      </c>
      <c r="F250" t="s">
        <v>35</v>
      </c>
      <c r="G250" s="13">
        <v>200</v>
      </c>
      <c r="J250" s="43"/>
      <c r="M250" s="13"/>
    </row>
    <row r="251" spans="2:13" x14ac:dyDescent="0.35">
      <c r="B251" s="43">
        <v>46082.5</v>
      </c>
      <c r="C251" t="s">
        <v>56</v>
      </c>
      <c r="D251" t="s">
        <v>11</v>
      </c>
      <c r="E251" t="s">
        <v>57</v>
      </c>
      <c r="F251" t="s">
        <v>35</v>
      </c>
      <c r="G251" s="13">
        <v>200</v>
      </c>
      <c r="J251" s="43"/>
      <c r="M251" s="13"/>
    </row>
    <row r="252" spans="2:13" x14ac:dyDescent="0.35">
      <c r="B252" s="1">
        <v>44440</v>
      </c>
      <c r="C252" t="s">
        <v>58</v>
      </c>
      <c r="D252" t="s">
        <v>24</v>
      </c>
      <c r="E252" t="s">
        <v>77</v>
      </c>
      <c r="F252" t="s">
        <v>35</v>
      </c>
      <c r="G252" s="13">
        <v>25</v>
      </c>
      <c r="J252" s="43"/>
      <c r="M252" s="13"/>
    </row>
    <row r="253" spans="2:13" x14ac:dyDescent="0.35">
      <c r="B253" s="43">
        <v>44470.416666666664</v>
      </c>
      <c r="C253" t="s">
        <v>58</v>
      </c>
      <c r="D253" t="s">
        <v>24</v>
      </c>
      <c r="E253" t="s">
        <v>77</v>
      </c>
      <c r="F253" t="s">
        <v>35</v>
      </c>
      <c r="G253" s="13">
        <v>25</v>
      </c>
      <c r="J253" s="43"/>
      <c r="M253" s="13"/>
    </row>
    <row r="254" spans="2:13" x14ac:dyDescent="0.35">
      <c r="B254" s="43">
        <v>44500.833333333336</v>
      </c>
      <c r="C254" t="s">
        <v>58</v>
      </c>
      <c r="D254" t="s">
        <v>24</v>
      </c>
      <c r="E254" t="s">
        <v>77</v>
      </c>
      <c r="F254" t="s">
        <v>35</v>
      </c>
      <c r="G254" s="13">
        <v>25</v>
      </c>
      <c r="J254" s="43"/>
      <c r="M254" s="13"/>
    </row>
    <row r="255" spans="2:13" x14ac:dyDescent="0.35">
      <c r="B255" s="43">
        <v>44531.25</v>
      </c>
      <c r="C255" t="s">
        <v>58</v>
      </c>
      <c r="D255" t="s">
        <v>24</v>
      </c>
      <c r="E255" t="s">
        <v>77</v>
      </c>
      <c r="F255" t="s">
        <v>35</v>
      </c>
      <c r="G255" s="13">
        <v>25</v>
      </c>
      <c r="J255" s="43"/>
      <c r="M255" s="13"/>
    </row>
    <row r="256" spans="2:13" x14ac:dyDescent="0.35">
      <c r="B256" s="43">
        <v>44561.666666666664</v>
      </c>
      <c r="C256" t="s">
        <v>58</v>
      </c>
      <c r="D256" t="s">
        <v>24</v>
      </c>
      <c r="E256" t="s">
        <v>77</v>
      </c>
      <c r="F256" t="s">
        <v>35</v>
      </c>
      <c r="G256" s="13">
        <v>25</v>
      </c>
      <c r="J256" s="43"/>
      <c r="M256" s="13"/>
    </row>
    <row r="257" spans="2:13" x14ac:dyDescent="0.35">
      <c r="B257" s="43">
        <v>44592.083333333336</v>
      </c>
      <c r="C257" t="s">
        <v>58</v>
      </c>
      <c r="D257" t="s">
        <v>24</v>
      </c>
      <c r="E257" t="s">
        <v>77</v>
      </c>
      <c r="F257" t="s">
        <v>35</v>
      </c>
      <c r="G257" s="13">
        <v>25</v>
      </c>
      <c r="J257" s="43"/>
      <c r="M257" s="13"/>
    </row>
    <row r="258" spans="2:13" x14ac:dyDescent="0.35">
      <c r="B258" s="43">
        <v>44622.5</v>
      </c>
      <c r="C258" t="s">
        <v>58</v>
      </c>
      <c r="D258" t="s">
        <v>24</v>
      </c>
      <c r="E258" t="s">
        <v>77</v>
      </c>
      <c r="F258" t="s">
        <v>35</v>
      </c>
      <c r="G258" s="13">
        <v>25</v>
      </c>
      <c r="J258" s="43"/>
      <c r="M258" s="13"/>
    </row>
    <row r="259" spans="2:13" x14ac:dyDescent="0.35">
      <c r="B259" s="43">
        <v>44652.916666666664</v>
      </c>
      <c r="C259" t="s">
        <v>58</v>
      </c>
      <c r="D259" t="s">
        <v>24</v>
      </c>
      <c r="E259" t="s">
        <v>77</v>
      </c>
      <c r="F259" t="s">
        <v>35</v>
      </c>
      <c r="G259" s="13">
        <v>25</v>
      </c>
      <c r="J259" s="43"/>
      <c r="M259" s="13"/>
    </row>
    <row r="260" spans="2:13" x14ac:dyDescent="0.35">
      <c r="B260" s="43">
        <v>44683.333333333336</v>
      </c>
      <c r="C260" t="s">
        <v>58</v>
      </c>
      <c r="D260" t="s">
        <v>24</v>
      </c>
      <c r="E260" t="s">
        <v>77</v>
      </c>
      <c r="F260" t="s">
        <v>35</v>
      </c>
      <c r="G260" s="13">
        <v>25</v>
      </c>
      <c r="J260" s="43"/>
      <c r="M260" s="13"/>
    </row>
    <row r="261" spans="2:13" x14ac:dyDescent="0.35">
      <c r="B261" s="43">
        <v>44713.75</v>
      </c>
      <c r="C261" t="s">
        <v>58</v>
      </c>
      <c r="D261" t="s">
        <v>24</v>
      </c>
      <c r="E261" t="s">
        <v>77</v>
      </c>
      <c r="F261" t="s">
        <v>35</v>
      </c>
      <c r="G261" s="13">
        <v>25</v>
      </c>
      <c r="J261" s="43"/>
      <c r="M261" s="13"/>
    </row>
    <row r="262" spans="2:13" x14ac:dyDescent="0.35">
      <c r="B262" s="43">
        <v>44744.166666666664</v>
      </c>
      <c r="C262" t="s">
        <v>58</v>
      </c>
      <c r="D262" t="s">
        <v>24</v>
      </c>
      <c r="E262" t="s">
        <v>77</v>
      </c>
      <c r="F262" t="s">
        <v>35</v>
      </c>
      <c r="G262" s="13">
        <v>25</v>
      </c>
      <c r="J262" s="43"/>
      <c r="M262" s="13"/>
    </row>
    <row r="263" spans="2:13" x14ac:dyDescent="0.35">
      <c r="B263" s="43">
        <v>44774.583333333336</v>
      </c>
      <c r="C263" t="s">
        <v>58</v>
      </c>
      <c r="D263" t="s">
        <v>24</v>
      </c>
      <c r="E263" t="s">
        <v>77</v>
      </c>
      <c r="F263" t="s">
        <v>35</v>
      </c>
      <c r="G263" s="13">
        <v>25</v>
      </c>
      <c r="J263" s="43"/>
      <c r="M263" s="13"/>
    </row>
    <row r="264" spans="2:13" x14ac:dyDescent="0.35">
      <c r="B264" s="43">
        <v>44805</v>
      </c>
      <c r="C264" t="s">
        <v>58</v>
      </c>
      <c r="D264" t="s">
        <v>24</v>
      </c>
      <c r="E264" t="s">
        <v>77</v>
      </c>
      <c r="F264" t="s">
        <v>35</v>
      </c>
      <c r="G264" s="13">
        <v>25</v>
      </c>
      <c r="J264" s="43"/>
      <c r="M264" s="13"/>
    </row>
    <row r="265" spans="2:13" x14ac:dyDescent="0.35">
      <c r="B265" s="43">
        <v>44835.416666666664</v>
      </c>
      <c r="C265" t="s">
        <v>58</v>
      </c>
      <c r="D265" t="s">
        <v>24</v>
      </c>
      <c r="E265" t="s">
        <v>77</v>
      </c>
      <c r="F265" t="s">
        <v>35</v>
      </c>
      <c r="G265" s="13">
        <v>25</v>
      </c>
      <c r="J265" s="43"/>
      <c r="M265" s="13"/>
    </row>
    <row r="266" spans="2:13" x14ac:dyDescent="0.35">
      <c r="B266" s="43">
        <v>44865.833333333336</v>
      </c>
      <c r="C266" t="s">
        <v>58</v>
      </c>
      <c r="D266" t="s">
        <v>24</v>
      </c>
      <c r="E266" t="s">
        <v>77</v>
      </c>
      <c r="F266" t="s">
        <v>35</v>
      </c>
      <c r="G266" s="13">
        <v>25</v>
      </c>
      <c r="J266" s="43"/>
      <c r="M266" s="13"/>
    </row>
    <row r="267" spans="2:13" x14ac:dyDescent="0.35">
      <c r="B267" s="43">
        <v>44896.25</v>
      </c>
      <c r="C267" t="s">
        <v>58</v>
      </c>
      <c r="D267" t="s">
        <v>24</v>
      </c>
      <c r="E267" t="s">
        <v>77</v>
      </c>
      <c r="F267" t="s">
        <v>35</v>
      </c>
      <c r="G267" s="13">
        <v>25</v>
      </c>
      <c r="J267" s="43"/>
      <c r="M267" s="13"/>
    </row>
    <row r="268" spans="2:13" x14ac:dyDescent="0.35">
      <c r="B268" s="43">
        <v>44926.666666666664</v>
      </c>
      <c r="C268" t="s">
        <v>58</v>
      </c>
      <c r="D268" t="s">
        <v>24</v>
      </c>
      <c r="E268" t="s">
        <v>77</v>
      </c>
      <c r="F268" t="s">
        <v>35</v>
      </c>
      <c r="G268" s="13">
        <v>25</v>
      </c>
      <c r="J268" s="43"/>
      <c r="M268" s="13"/>
    </row>
    <row r="269" spans="2:13" x14ac:dyDescent="0.35">
      <c r="B269" s="43">
        <v>44957.083333333336</v>
      </c>
      <c r="C269" t="s">
        <v>58</v>
      </c>
      <c r="D269" t="s">
        <v>24</v>
      </c>
      <c r="E269" t="s">
        <v>77</v>
      </c>
      <c r="F269" t="s">
        <v>35</v>
      </c>
      <c r="G269" s="13">
        <v>25</v>
      </c>
      <c r="J269" s="43"/>
      <c r="M269" s="13"/>
    </row>
    <row r="270" spans="2:13" x14ac:dyDescent="0.35">
      <c r="B270" s="43">
        <v>44987.5</v>
      </c>
      <c r="C270" t="s">
        <v>58</v>
      </c>
      <c r="D270" t="s">
        <v>24</v>
      </c>
      <c r="E270" t="s">
        <v>77</v>
      </c>
      <c r="F270" t="s">
        <v>35</v>
      </c>
      <c r="G270" s="13">
        <v>25</v>
      </c>
      <c r="J270" s="43"/>
      <c r="M270" s="13"/>
    </row>
    <row r="271" spans="2:13" x14ac:dyDescent="0.35">
      <c r="B271" s="43">
        <v>45017.916666666664</v>
      </c>
      <c r="C271" t="s">
        <v>58</v>
      </c>
      <c r="D271" t="s">
        <v>24</v>
      </c>
      <c r="E271" t="s">
        <v>77</v>
      </c>
      <c r="F271" t="s">
        <v>35</v>
      </c>
      <c r="G271" s="13">
        <v>25</v>
      </c>
      <c r="J271" s="43"/>
      <c r="M271" s="13"/>
    </row>
    <row r="272" spans="2:13" x14ac:dyDescent="0.35">
      <c r="B272" s="43">
        <v>45048.333333333336</v>
      </c>
      <c r="C272" t="s">
        <v>58</v>
      </c>
      <c r="D272" t="s">
        <v>24</v>
      </c>
      <c r="E272" t="s">
        <v>77</v>
      </c>
      <c r="F272" t="s">
        <v>35</v>
      </c>
      <c r="G272" s="13">
        <v>25</v>
      </c>
      <c r="J272" s="43"/>
      <c r="M272" s="13"/>
    </row>
    <row r="273" spans="2:13" x14ac:dyDescent="0.35">
      <c r="B273" s="43">
        <v>45078.75</v>
      </c>
      <c r="C273" t="s">
        <v>58</v>
      </c>
      <c r="D273" t="s">
        <v>24</v>
      </c>
      <c r="E273" t="s">
        <v>77</v>
      </c>
      <c r="F273" t="s">
        <v>35</v>
      </c>
      <c r="G273" s="13">
        <v>25</v>
      </c>
      <c r="J273" s="43"/>
      <c r="M273" s="13"/>
    </row>
    <row r="274" spans="2:13" x14ac:dyDescent="0.35">
      <c r="B274" s="43">
        <v>45109.166666666664</v>
      </c>
      <c r="C274" t="s">
        <v>58</v>
      </c>
      <c r="D274" t="s">
        <v>24</v>
      </c>
      <c r="E274" t="s">
        <v>77</v>
      </c>
      <c r="F274" t="s">
        <v>35</v>
      </c>
      <c r="G274" s="13">
        <v>25</v>
      </c>
      <c r="J274" s="43"/>
      <c r="M274" s="13"/>
    </row>
    <row r="275" spans="2:13" x14ac:dyDescent="0.35">
      <c r="B275" s="43">
        <v>45139.583333333336</v>
      </c>
      <c r="C275" t="s">
        <v>58</v>
      </c>
      <c r="D275" t="s">
        <v>24</v>
      </c>
      <c r="E275" t="s">
        <v>77</v>
      </c>
      <c r="F275" t="s">
        <v>35</v>
      </c>
      <c r="G275" s="13">
        <v>25</v>
      </c>
      <c r="J275" s="43"/>
      <c r="M275" s="13"/>
    </row>
    <row r="276" spans="2:13" x14ac:dyDescent="0.35">
      <c r="B276" s="43">
        <v>45170</v>
      </c>
      <c r="C276" t="s">
        <v>58</v>
      </c>
      <c r="D276" t="s">
        <v>24</v>
      </c>
      <c r="E276" t="s">
        <v>77</v>
      </c>
      <c r="F276" t="s">
        <v>35</v>
      </c>
      <c r="G276" s="13">
        <v>25</v>
      </c>
      <c r="J276" s="43"/>
      <c r="M276" s="13"/>
    </row>
    <row r="277" spans="2:13" x14ac:dyDescent="0.35">
      <c r="B277" s="43">
        <v>45200.416666666664</v>
      </c>
      <c r="C277" t="s">
        <v>58</v>
      </c>
      <c r="D277" t="s">
        <v>24</v>
      </c>
      <c r="E277" t="s">
        <v>77</v>
      </c>
      <c r="F277" t="s">
        <v>35</v>
      </c>
      <c r="G277" s="13">
        <v>25</v>
      </c>
      <c r="J277" s="43"/>
      <c r="M277" s="13"/>
    </row>
    <row r="278" spans="2:13" x14ac:dyDescent="0.35">
      <c r="B278" s="43">
        <v>45230.833333333336</v>
      </c>
      <c r="C278" t="s">
        <v>58</v>
      </c>
      <c r="D278" t="s">
        <v>24</v>
      </c>
      <c r="E278" t="s">
        <v>77</v>
      </c>
      <c r="F278" t="s">
        <v>35</v>
      </c>
      <c r="G278" s="13">
        <v>25</v>
      </c>
      <c r="J278" s="43"/>
      <c r="M278" s="13"/>
    </row>
    <row r="279" spans="2:13" x14ac:dyDescent="0.35">
      <c r="B279" s="43">
        <v>45261.25</v>
      </c>
      <c r="C279" t="s">
        <v>58</v>
      </c>
      <c r="D279" t="s">
        <v>24</v>
      </c>
      <c r="E279" t="s">
        <v>77</v>
      </c>
      <c r="F279" t="s">
        <v>35</v>
      </c>
      <c r="G279" s="13">
        <v>25</v>
      </c>
      <c r="J279" s="43"/>
      <c r="M279" s="13"/>
    </row>
    <row r="280" spans="2:13" x14ac:dyDescent="0.35">
      <c r="B280" s="43">
        <v>45291.666666666664</v>
      </c>
      <c r="C280" t="s">
        <v>58</v>
      </c>
      <c r="D280" t="s">
        <v>24</v>
      </c>
      <c r="E280" t="s">
        <v>77</v>
      </c>
      <c r="F280" t="s">
        <v>35</v>
      </c>
      <c r="G280" s="13">
        <v>25</v>
      </c>
      <c r="J280" s="43"/>
      <c r="M280" s="13"/>
    </row>
    <row r="281" spans="2:13" x14ac:dyDescent="0.35">
      <c r="B281" s="43">
        <v>45322.083333333336</v>
      </c>
      <c r="C281" t="s">
        <v>58</v>
      </c>
      <c r="D281" t="s">
        <v>24</v>
      </c>
      <c r="E281" t="s">
        <v>77</v>
      </c>
      <c r="F281" t="s">
        <v>35</v>
      </c>
      <c r="G281" s="13">
        <v>25</v>
      </c>
      <c r="J281" s="43"/>
      <c r="M281" s="13"/>
    </row>
    <row r="282" spans="2:13" x14ac:dyDescent="0.35">
      <c r="B282" s="43">
        <v>45352.5</v>
      </c>
      <c r="C282" t="s">
        <v>58</v>
      </c>
      <c r="D282" t="s">
        <v>24</v>
      </c>
      <c r="E282" t="s">
        <v>77</v>
      </c>
      <c r="F282" t="s">
        <v>35</v>
      </c>
      <c r="G282" s="13">
        <v>25</v>
      </c>
      <c r="J282" s="43"/>
      <c r="M282" s="13"/>
    </row>
    <row r="283" spans="2:13" x14ac:dyDescent="0.35">
      <c r="B283" s="43">
        <v>45382.916666666664</v>
      </c>
      <c r="C283" t="s">
        <v>58</v>
      </c>
      <c r="D283" t="s">
        <v>24</v>
      </c>
      <c r="E283" t="s">
        <v>77</v>
      </c>
      <c r="F283" t="s">
        <v>35</v>
      </c>
      <c r="G283" s="13">
        <v>25</v>
      </c>
      <c r="J283" s="43"/>
      <c r="M283" s="13"/>
    </row>
    <row r="284" spans="2:13" x14ac:dyDescent="0.35">
      <c r="B284" s="43">
        <v>45413.333333333336</v>
      </c>
      <c r="C284" t="s">
        <v>58</v>
      </c>
      <c r="D284" t="s">
        <v>24</v>
      </c>
      <c r="E284" t="s">
        <v>77</v>
      </c>
      <c r="F284" t="s">
        <v>35</v>
      </c>
      <c r="G284" s="13">
        <v>25</v>
      </c>
      <c r="J284" s="43"/>
      <c r="M284" s="13"/>
    </row>
    <row r="285" spans="2:13" x14ac:dyDescent="0.35">
      <c r="B285" s="43">
        <v>45443.75</v>
      </c>
      <c r="C285" t="s">
        <v>58</v>
      </c>
      <c r="D285" t="s">
        <v>24</v>
      </c>
      <c r="E285" t="s">
        <v>77</v>
      </c>
      <c r="F285" t="s">
        <v>35</v>
      </c>
      <c r="G285" s="13">
        <v>25</v>
      </c>
      <c r="J285" s="43"/>
      <c r="M285" s="13"/>
    </row>
    <row r="286" spans="2:13" x14ac:dyDescent="0.35">
      <c r="B286" s="43">
        <v>45474.166666666664</v>
      </c>
      <c r="C286" t="s">
        <v>58</v>
      </c>
      <c r="D286" t="s">
        <v>24</v>
      </c>
      <c r="E286" t="s">
        <v>77</v>
      </c>
      <c r="F286" t="s">
        <v>35</v>
      </c>
      <c r="G286" s="13">
        <v>25</v>
      </c>
      <c r="J286" s="43"/>
      <c r="M286" s="13"/>
    </row>
    <row r="287" spans="2:13" x14ac:dyDescent="0.35">
      <c r="B287" s="43">
        <v>45504.583333333336</v>
      </c>
      <c r="C287" t="s">
        <v>58</v>
      </c>
      <c r="D287" t="s">
        <v>24</v>
      </c>
      <c r="E287" t="s">
        <v>77</v>
      </c>
      <c r="F287" t="s">
        <v>35</v>
      </c>
      <c r="G287" s="13">
        <v>25</v>
      </c>
      <c r="J287" s="43"/>
      <c r="M287" s="13"/>
    </row>
    <row r="288" spans="2:13" x14ac:dyDescent="0.35">
      <c r="B288" s="43">
        <v>45535</v>
      </c>
      <c r="C288" t="s">
        <v>58</v>
      </c>
      <c r="D288" t="s">
        <v>24</v>
      </c>
      <c r="E288" t="s">
        <v>77</v>
      </c>
      <c r="F288" t="s">
        <v>35</v>
      </c>
      <c r="G288" s="13">
        <v>25</v>
      </c>
      <c r="J288" s="43"/>
      <c r="M288" s="13"/>
    </row>
    <row r="289" spans="2:13" x14ac:dyDescent="0.35">
      <c r="B289" s="43">
        <v>45565.416666666664</v>
      </c>
      <c r="C289" t="s">
        <v>58</v>
      </c>
      <c r="D289" t="s">
        <v>24</v>
      </c>
      <c r="E289" t="s">
        <v>77</v>
      </c>
      <c r="F289" t="s">
        <v>35</v>
      </c>
      <c r="G289" s="13">
        <v>25</v>
      </c>
      <c r="J289" s="43"/>
      <c r="M289" s="13"/>
    </row>
    <row r="290" spans="2:13" x14ac:dyDescent="0.35">
      <c r="B290" s="43">
        <v>45595.833333333336</v>
      </c>
      <c r="C290" t="s">
        <v>58</v>
      </c>
      <c r="D290" t="s">
        <v>24</v>
      </c>
      <c r="E290" t="s">
        <v>77</v>
      </c>
      <c r="F290" t="s">
        <v>35</v>
      </c>
      <c r="G290" s="13">
        <v>25</v>
      </c>
      <c r="J290" s="43"/>
      <c r="M290" s="13"/>
    </row>
    <row r="291" spans="2:13" x14ac:dyDescent="0.35">
      <c r="B291" s="43">
        <v>45626.25</v>
      </c>
      <c r="C291" t="s">
        <v>58</v>
      </c>
      <c r="D291" t="s">
        <v>24</v>
      </c>
      <c r="E291" t="s">
        <v>77</v>
      </c>
      <c r="F291" t="s">
        <v>35</v>
      </c>
      <c r="G291" s="13">
        <v>25</v>
      </c>
      <c r="J291" s="43"/>
      <c r="M291" s="13"/>
    </row>
    <row r="292" spans="2:13" x14ac:dyDescent="0.35">
      <c r="B292" s="43">
        <v>45656.666666666664</v>
      </c>
      <c r="C292" t="s">
        <v>58</v>
      </c>
      <c r="D292" t="s">
        <v>24</v>
      </c>
      <c r="E292" t="s">
        <v>77</v>
      </c>
      <c r="F292" t="s">
        <v>35</v>
      </c>
      <c r="G292" s="13">
        <v>25</v>
      </c>
      <c r="J292" s="43"/>
      <c r="M292" s="13"/>
    </row>
    <row r="293" spans="2:13" x14ac:dyDescent="0.35">
      <c r="B293" s="43">
        <v>45687.083333333336</v>
      </c>
      <c r="C293" t="s">
        <v>58</v>
      </c>
      <c r="D293" t="s">
        <v>24</v>
      </c>
      <c r="E293" t="s">
        <v>77</v>
      </c>
      <c r="F293" t="s">
        <v>35</v>
      </c>
      <c r="G293" s="13">
        <v>25</v>
      </c>
      <c r="J293" s="43"/>
      <c r="M293" s="13"/>
    </row>
    <row r="294" spans="2:13" x14ac:dyDescent="0.35">
      <c r="B294" s="43">
        <v>45717.5</v>
      </c>
      <c r="C294" t="s">
        <v>58</v>
      </c>
      <c r="D294" t="s">
        <v>24</v>
      </c>
      <c r="E294" t="s">
        <v>77</v>
      </c>
      <c r="F294" t="s">
        <v>35</v>
      </c>
      <c r="G294" s="13">
        <v>25</v>
      </c>
      <c r="J294" s="43"/>
      <c r="M294" s="13"/>
    </row>
    <row r="295" spans="2:13" x14ac:dyDescent="0.35">
      <c r="B295" s="1">
        <v>45747.916666666664</v>
      </c>
      <c r="C295" t="s">
        <v>58</v>
      </c>
      <c r="D295" t="s">
        <v>24</v>
      </c>
      <c r="E295" t="s">
        <v>77</v>
      </c>
      <c r="F295" t="s">
        <v>35</v>
      </c>
      <c r="G295" s="13">
        <v>25</v>
      </c>
      <c r="J295" s="43"/>
      <c r="M295" s="13"/>
    </row>
    <row r="296" spans="2:13" x14ac:dyDescent="0.35">
      <c r="B296" s="43">
        <v>45778.333333333336</v>
      </c>
      <c r="C296" t="s">
        <v>58</v>
      </c>
      <c r="D296" t="s">
        <v>24</v>
      </c>
      <c r="E296" t="s">
        <v>77</v>
      </c>
      <c r="F296" t="s">
        <v>35</v>
      </c>
      <c r="G296" s="13">
        <v>25</v>
      </c>
      <c r="J296" s="43"/>
      <c r="M296" s="13"/>
    </row>
    <row r="297" spans="2:13" x14ac:dyDescent="0.35">
      <c r="B297" s="1">
        <v>45808.75</v>
      </c>
      <c r="C297" t="s">
        <v>58</v>
      </c>
      <c r="D297" t="s">
        <v>24</v>
      </c>
      <c r="E297" t="s">
        <v>77</v>
      </c>
      <c r="F297" t="s">
        <v>35</v>
      </c>
      <c r="G297" s="13">
        <v>25</v>
      </c>
      <c r="J297" s="43"/>
      <c r="M297" s="13"/>
    </row>
    <row r="298" spans="2:13" x14ac:dyDescent="0.35">
      <c r="B298" s="43">
        <v>45839.166666666664</v>
      </c>
      <c r="C298" t="s">
        <v>58</v>
      </c>
      <c r="D298" t="s">
        <v>24</v>
      </c>
      <c r="E298" t="s">
        <v>77</v>
      </c>
      <c r="F298" t="s">
        <v>35</v>
      </c>
      <c r="G298" s="13">
        <v>25</v>
      </c>
      <c r="J298" s="43"/>
      <c r="M298" s="13"/>
    </row>
    <row r="299" spans="2:13" x14ac:dyDescent="0.35">
      <c r="B299" s="43">
        <v>45869.583333333336</v>
      </c>
      <c r="C299" t="s">
        <v>58</v>
      </c>
      <c r="D299" t="s">
        <v>24</v>
      </c>
      <c r="E299" t="s">
        <v>77</v>
      </c>
      <c r="F299" t="s">
        <v>35</v>
      </c>
      <c r="G299" s="13">
        <v>25</v>
      </c>
      <c r="J299" s="43"/>
      <c r="M299" s="13"/>
    </row>
    <row r="300" spans="2:13" x14ac:dyDescent="0.35">
      <c r="B300" s="43">
        <v>45900</v>
      </c>
      <c r="C300" t="s">
        <v>58</v>
      </c>
      <c r="D300" t="s">
        <v>24</v>
      </c>
      <c r="E300" t="s">
        <v>77</v>
      </c>
      <c r="F300" t="s">
        <v>35</v>
      </c>
      <c r="G300" s="13">
        <v>25</v>
      </c>
      <c r="J300" s="43"/>
      <c r="M300" s="13"/>
    </row>
    <row r="301" spans="2:13" x14ac:dyDescent="0.35">
      <c r="B301" s="43">
        <v>45930.416666666664</v>
      </c>
      <c r="C301" t="s">
        <v>58</v>
      </c>
      <c r="D301" t="s">
        <v>24</v>
      </c>
      <c r="E301" t="s">
        <v>77</v>
      </c>
      <c r="F301" t="s">
        <v>35</v>
      </c>
      <c r="G301" s="13">
        <v>25</v>
      </c>
      <c r="J301" s="43"/>
      <c r="M301" s="13"/>
    </row>
    <row r="302" spans="2:13" x14ac:dyDescent="0.35">
      <c r="B302" s="43">
        <v>45960.833333333336</v>
      </c>
      <c r="C302" t="s">
        <v>58</v>
      </c>
      <c r="D302" t="s">
        <v>24</v>
      </c>
      <c r="E302" t="s">
        <v>77</v>
      </c>
      <c r="F302" t="s">
        <v>35</v>
      </c>
      <c r="G302" s="13">
        <v>25</v>
      </c>
      <c r="J302" s="43"/>
      <c r="M302" s="13"/>
    </row>
    <row r="303" spans="2:13" x14ac:dyDescent="0.35">
      <c r="B303" s="43">
        <v>45991.25</v>
      </c>
      <c r="C303" t="s">
        <v>58</v>
      </c>
      <c r="D303" t="s">
        <v>24</v>
      </c>
      <c r="E303" t="s">
        <v>77</v>
      </c>
      <c r="F303" t="s">
        <v>35</v>
      </c>
      <c r="G303" s="13">
        <v>25</v>
      </c>
      <c r="J303" s="43"/>
      <c r="M303" s="13"/>
    </row>
    <row r="304" spans="2:13" x14ac:dyDescent="0.35">
      <c r="B304" s="43">
        <v>46021.666666666664</v>
      </c>
      <c r="C304" t="s">
        <v>58</v>
      </c>
      <c r="D304" t="s">
        <v>24</v>
      </c>
      <c r="E304" t="s">
        <v>77</v>
      </c>
      <c r="F304" t="s">
        <v>35</v>
      </c>
      <c r="G304" s="13">
        <v>25</v>
      </c>
      <c r="J304" s="43"/>
      <c r="M304" s="13"/>
    </row>
    <row r="305" spans="2:13" x14ac:dyDescent="0.35">
      <c r="B305" s="43">
        <v>46052.083333333336</v>
      </c>
      <c r="C305" t="s">
        <v>58</v>
      </c>
      <c r="D305" t="s">
        <v>24</v>
      </c>
      <c r="E305" t="s">
        <v>77</v>
      </c>
      <c r="F305" t="s">
        <v>35</v>
      </c>
      <c r="G305" s="13">
        <v>25</v>
      </c>
      <c r="J305" s="43"/>
      <c r="M305" s="13"/>
    </row>
    <row r="306" spans="2:13" x14ac:dyDescent="0.35">
      <c r="B306" s="43">
        <v>46082.5</v>
      </c>
      <c r="C306" t="s">
        <v>58</v>
      </c>
      <c r="D306" t="s">
        <v>24</v>
      </c>
      <c r="E306" t="s">
        <v>77</v>
      </c>
      <c r="F306" t="s">
        <v>35</v>
      </c>
      <c r="G306" s="13">
        <v>25</v>
      </c>
      <c r="J306" s="43"/>
      <c r="M306" s="13"/>
    </row>
    <row r="307" spans="2:13" x14ac:dyDescent="0.35">
      <c r="B307" s="43">
        <v>46112.916666666664</v>
      </c>
      <c r="C307" t="s">
        <v>58</v>
      </c>
      <c r="D307" t="s">
        <v>24</v>
      </c>
      <c r="E307" t="s">
        <v>77</v>
      </c>
      <c r="F307" t="s">
        <v>35</v>
      </c>
      <c r="G307" s="13">
        <v>25</v>
      </c>
      <c r="J307" s="43"/>
      <c r="M307" s="13"/>
    </row>
    <row r="308" spans="2:13" x14ac:dyDescent="0.35">
      <c r="B308" s="1">
        <v>44440</v>
      </c>
      <c r="C308" t="s">
        <v>53</v>
      </c>
      <c r="D308" t="s">
        <v>11</v>
      </c>
      <c r="E308" t="s">
        <v>78</v>
      </c>
      <c r="F308" t="s">
        <v>33</v>
      </c>
      <c r="G308" s="13">
        <v>50</v>
      </c>
      <c r="J308" s="43"/>
      <c r="M308" s="13"/>
    </row>
    <row r="309" spans="2:13" x14ac:dyDescent="0.35">
      <c r="B309" s="28">
        <v>44447.019236111111</v>
      </c>
      <c r="C309" t="s">
        <v>53</v>
      </c>
      <c r="D309" t="s">
        <v>11</v>
      </c>
      <c r="E309" t="s">
        <v>78</v>
      </c>
      <c r="F309" t="s">
        <v>33</v>
      </c>
      <c r="G309" s="13">
        <v>50</v>
      </c>
      <c r="J309" s="43"/>
      <c r="M309" s="13"/>
    </row>
    <row r="310" spans="2:13" x14ac:dyDescent="0.35">
      <c r="B310" s="43">
        <v>44454.038472222222</v>
      </c>
      <c r="C310" t="s">
        <v>53</v>
      </c>
      <c r="D310" t="s">
        <v>11</v>
      </c>
      <c r="E310" t="s">
        <v>78</v>
      </c>
      <c r="F310" t="s">
        <v>33</v>
      </c>
      <c r="G310" s="13">
        <v>50</v>
      </c>
      <c r="J310" s="43"/>
      <c r="M310" s="13"/>
    </row>
    <row r="311" spans="2:13" x14ac:dyDescent="0.35">
      <c r="B311" s="43">
        <v>44461.057708333334</v>
      </c>
      <c r="C311" t="s">
        <v>53</v>
      </c>
      <c r="D311" t="s">
        <v>11</v>
      </c>
      <c r="E311" t="s">
        <v>78</v>
      </c>
      <c r="F311" t="s">
        <v>33</v>
      </c>
      <c r="G311" s="13">
        <v>50</v>
      </c>
      <c r="J311" s="43"/>
      <c r="M311" s="13"/>
    </row>
    <row r="312" spans="2:13" x14ac:dyDescent="0.35">
      <c r="B312" s="43">
        <v>44468.076944444445</v>
      </c>
      <c r="C312" t="s">
        <v>53</v>
      </c>
      <c r="D312" t="s">
        <v>11</v>
      </c>
      <c r="E312" t="s">
        <v>78</v>
      </c>
      <c r="F312" t="s">
        <v>33</v>
      </c>
      <c r="G312" s="13">
        <v>50</v>
      </c>
      <c r="J312" s="43"/>
      <c r="M312" s="13"/>
    </row>
    <row r="313" spans="2:13" x14ac:dyDescent="0.35">
      <c r="B313" s="43">
        <v>44475.096180555556</v>
      </c>
      <c r="C313" t="s">
        <v>53</v>
      </c>
      <c r="D313" t="s">
        <v>11</v>
      </c>
      <c r="E313" t="s">
        <v>78</v>
      </c>
      <c r="F313" t="s">
        <v>33</v>
      </c>
      <c r="G313" s="13">
        <v>50</v>
      </c>
      <c r="J313" s="43"/>
      <c r="M313" s="13"/>
    </row>
    <row r="314" spans="2:13" x14ac:dyDescent="0.35">
      <c r="B314" s="43">
        <v>44482.115416666667</v>
      </c>
      <c r="C314" t="s">
        <v>53</v>
      </c>
      <c r="D314" t="s">
        <v>11</v>
      </c>
      <c r="E314" t="s">
        <v>78</v>
      </c>
      <c r="F314" t="s">
        <v>33</v>
      </c>
      <c r="G314" s="13">
        <v>50</v>
      </c>
      <c r="J314" s="43"/>
      <c r="M314" s="13"/>
    </row>
    <row r="315" spans="2:13" x14ac:dyDescent="0.35">
      <c r="B315" s="43">
        <v>44489.134652777779</v>
      </c>
      <c r="C315" t="s">
        <v>53</v>
      </c>
      <c r="D315" t="s">
        <v>11</v>
      </c>
      <c r="E315" t="s">
        <v>78</v>
      </c>
      <c r="F315" t="s">
        <v>33</v>
      </c>
      <c r="G315" s="13">
        <v>50</v>
      </c>
      <c r="J315" s="43"/>
      <c r="M315" s="13"/>
    </row>
    <row r="316" spans="2:13" x14ac:dyDescent="0.35">
      <c r="B316" s="43">
        <v>44496.15388888889</v>
      </c>
      <c r="C316" t="s">
        <v>53</v>
      </c>
      <c r="D316" t="s">
        <v>11</v>
      </c>
      <c r="E316" t="s">
        <v>78</v>
      </c>
      <c r="F316" t="s">
        <v>33</v>
      </c>
      <c r="G316" s="13">
        <v>50</v>
      </c>
      <c r="J316" s="43"/>
      <c r="M316" s="13"/>
    </row>
    <row r="317" spans="2:13" x14ac:dyDescent="0.35">
      <c r="B317" s="43">
        <v>44503.173125000001</v>
      </c>
      <c r="C317" t="s">
        <v>53</v>
      </c>
      <c r="D317" t="s">
        <v>11</v>
      </c>
      <c r="E317" t="s">
        <v>78</v>
      </c>
      <c r="F317" t="s">
        <v>33</v>
      </c>
      <c r="G317" s="13">
        <v>50</v>
      </c>
      <c r="J317" s="43"/>
      <c r="M317" s="13"/>
    </row>
    <row r="318" spans="2:13" x14ac:dyDescent="0.35">
      <c r="B318" s="43">
        <v>44510.192361111112</v>
      </c>
      <c r="C318" t="s">
        <v>53</v>
      </c>
      <c r="D318" t="s">
        <v>11</v>
      </c>
      <c r="E318" t="s">
        <v>78</v>
      </c>
      <c r="F318" t="s">
        <v>33</v>
      </c>
      <c r="G318" s="13">
        <v>50</v>
      </c>
      <c r="J318" s="43"/>
      <c r="M318" s="13"/>
    </row>
    <row r="319" spans="2:13" x14ac:dyDescent="0.35">
      <c r="B319" s="43">
        <v>44517.211597222224</v>
      </c>
      <c r="C319" t="s">
        <v>53</v>
      </c>
      <c r="D319" t="s">
        <v>11</v>
      </c>
      <c r="E319" t="s">
        <v>78</v>
      </c>
      <c r="F319" t="s">
        <v>33</v>
      </c>
      <c r="G319" s="13">
        <v>50</v>
      </c>
      <c r="J319" s="43"/>
      <c r="M319" s="13"/>
    </row>
    <row r="320" spans="2:13" x14ac:dyDescent="0.35">
      <c r="B320" s="43">
        <v>44524.230833333335</v>
      </c>
      <c r="C320" t="s">
        <v>53</v>
      </c>
      <c r="D320" t="s">
        <v>11</v>
      </c>
      <c r="E320" t="s">
        <v>78</v>
      </c>
      <c r="F320" t="s">
        <v>33</v>
      </c>
      <c r="G320" s="13">
        <v>50</v>
      </c>
      <c r="J320" s="43"/>
      <c r="M320" s="13"/>
    </row>
    <row r="321" spans="2:13" x14ac:dyDescent="0.35">
      <c r="B321" s="28">
        <v>44531.250069444446</v>
      </c>
      <c r="C321" t="s">
        <v>53</v>
      </c>
      <c r="D321" t="s">
        <v>11</v>
      </c>
      <c r="E321" t="s">
        <v>78</v>
      </c>
      <c r="F321" t="s">
        <v>33</v>
      </c>
      <c r="G321" s="13">
        <v>50</v>
      </c>
      <c r="J321" s="43"/>
      <c r="M321" s="13"/>
    </row>
    <row r="322" spans="2:13" x14ac:dyDescent="0.35">
      <c r="B322" s="43">
        <v>44538.269305555557</v>
      </c>
      <c r="C322" t="s">
        <v>53</v>
      </c>
      <c r="D322" t="s">
        <v>11</v>
      </c>
      <c r="E322" t="s">
        <v>78</v>
      </c>
      <c r="F322" t="s">
        <v>33</v>
      </c>
      <c r="G322" s="13">
        <v>50</v>
      </c>
      <c r="J322" s="43"/>
      <c r="M322" s="13"/>
    </row>
    <row r="323" spans="2:13" x14ac:dyDescent="0.35">
      <c r="B323" s="43">
        <v>44545.288541666669</v>
      </c>
      <c r="C323" t="s">
        <v>53</v>
      </c>
      <c r="D323" t="s">
        <v>11</v>
      </c>
      <c r="E323" t="s">
        <v>78</v>
      </c>
      <c r="F323" t="s">
        <v>33</v>
      </c>
      <c r="G323" s="13">
        <v>50</v>
      </c>
      <c r="J323" s="43"/>
      <c r="M323" s="13"/>
    </row>
    <row r="324" spans="2:13" x14ac:dyDescent="0.35">
      <c r="B324" s="43">
        <v>44552.30777777778</v>
      </c>
      <c r="C324" t="s">
        <v>53</v>
      </c>
      <c r="D324" t="s">
        <v>11</v>
      </c>
      <c r="E324" t="s">
        <v>78</v>
      </c>
      <c r="F324" t="s">
        <v>33</v>
      </c>
      <c r="G324" s="13">
        <v>50</v>
      </c>
      <c r="J324" s="43"/>
      <c r="M324" s="13"/>
    </row>
    <row r="325" spans="2:13" x14ac:dyDescent="0.35">
      <c r="B325" s="43">
        <v>44559.327013888891</v>
      </c>
      <c r="C325" t="s">
        <v>53</v>
      </c>
      <c r="D325" t="s">
        <v>11</v>
      </c>
      <c r="E325" t="s">
        <v>78</v>
      </c>
      <c r="F325" t="s">
        <v>33</v>
      </c>
      <c r="G325" s="13">
        <v>50</v>
      </c>
      <c r="J325" s="43"/>
      <c r="M325" s="13"/>
    </row>
    <row r="326" spans="2:13" x14ac:dyDescent="0.35">
      <c r="B326" s="43">
        <v>44566.346250000002</v>
      </c>
      <c r="C326" t="s">
        <v>53</v>
      </c>
      <c r="D326" t="s">
        <v>11</v>
      </c>
      <c r="E326" t="s">
        <v>78</v>
      </c>
      <c r="F326" t="s">
        <v>33</v>
      </c>
      <c r="G326" s="13">
        <v>50</v>
      </c>
      <c r="J326" s="43"/>
      <c r="M326" s="13"/>
    </row>
    <row r="327" spans="2:13" x14ac:dyDescent="0.35">
      <c r="B327" s="43">
        <v>44573.365486111114</v>
      </c>
      <c r="C327" t="s">
        <v>53</v>
      </c>
      <c r="D327" t="s">
        <v>11</v>
      </c>
      <c r="E327" t="s">
        <v>78</v>
      </c>
      <c r="F327" t="s">
        <v>33</v>
      </c>
      <c r="G327" s="13">
        <v>50</v>
      </c>
      <c r="J327" s="43"/>
      <c r="M327" s="13"/>
    </row>
    <row r="328" spans="2:13" x14ac:dyDescent="0.35">
      <c r="B328" s="43">
        <v>44580.384722222225</v>
      </c>
      <c r="C328" t="s">
        <v>53</v>
      </c>
      <c r="D328" t="s">
        <v>11</v>
      </c>
      <c r="E328" t="s">
        <v>78</v>
      </c>
      <c r="F328" t="s">
        <v>33</v>
      </c>
      <c r="G328" s="13">
        <v>50</v>
      </c>
      <c r="J328" s="43"/>
      <c r="M328" s="13"/>
    </row>
    <row r="329" spans="2:13" x14ac:dyDescent="0.35">
      <c r="B329" s="43">
        <v>44587.403958333336</v>
      </c>
      <c r="C329" t="s">
        <v>53</v>
      </c>
      <c r="D329" t="s">
        <v>11</v>
      </c>
      <c r="E329" t="s">
        <v>78</v>
      </c>
      <c r="F329" t="s">
        <v>33</v>
      </c>
      <c r="G329" s="13">
        <v>50</v>
      </c>
      <c r="J329" s="43"/>
      <c r="M329" s="13"/>
    </row>
    <row r="330" spans="2:13" x14ac:dyDescent="0.35">
      <c r="B330" s="43">
        <v>44594.423194444447</v>
      </c>
      <c r="C330" t="s">
        <v>53</v>
      </c>
      <c r="D330" t="s">
        <v>11</v>
      </c>
      <c r="E330" t="s">
        <v>78</v>
      </c>
      <c r="F330" t="s">
        <v>33</v>
      </c>
      <c r="G330" s="13">
        <v>50</v>
      </c>
      <c r="J330" s="43"/>
      <c r="M330" s="13"/>
    </row>
    <row r="331" spans="2:13" x14ac:dyDescent="0.35">
      <c r="B331" s="43">
        <v>44601.442430555559</v>
      </c>
      <c r="C331" t="s">
        <v>53</v>
      </c>
      <c r="D331" t="s">
        <v>11</v>
      </c>
      <c r="E331" t="s">
        <v>78</v>
      </c>
      <c r="F331" t="s">
        <v>33</v>
      </c>
      <c r="G331" s="13">
        <v>50</v>
      </c>
      <c r="J331" s="43"/>
      <c r="M331" s="13"/>
    </row>
    <row r="332" spans="2:13" x14ac:dyDescent="0.35">
      <c r="B332" s="43">
        <v>44608.46166666667</v>
      </c>
      <c r="C332" t="s">
        <v>53</v>
      </c>
      <c r="D332" t="s">
        <v>11</v>
      </c>
      <c r="E332" t="s">
        <v>78</v>
      </c>
      <c r="F332" t="s">
        <v>33</v>
      </c>
      <c r="G332" s="13">
        <v>50</v>
      </c>
      <c r="J332" s="43"/>
      <c r="M332" s="13"/>
    </row>
    <row r="333" spans="2:13" x14ac:dyDescent="0.35">
      <c r="B333" s="28">
        <v>44615.480902777781</v>
      </c>
      <c r="C333" t="s">
        <v>53</v>
      </c>
      <c r="D333" t="s">
        <v>11</v>
      </c>
      <c r="E333" t="s">
        <v>78</v>
      </c>
      <c r="F333" t="s">
        <v>33</v>
      </c>
      <c r="G333" s="13">
        <v>50</v>
      </c>
      <c r="J333" s="43"/>
      <c r="M333" s="13"/>
    </row>
    <row r="334" spans="2:13" x14ac:dyDescent="0.35">
      <c r="B334" s="43">
        <v>44622.500138888892</v>
      </c>
      <c r="C334" t="s">
        <v>53</v>
      </c>
      <c r="D334" t="s">
        <v>11</v>
      </c>
      <c r="E334" t="s">
        <v>78</v>
      </c>
      <c r="F334" t="s">
        <v>33</v>
      </c>
      <c r="G334" s="13">
        <v>50</v>
      </c>
      <c r="J334" s="43"/>
      <c r="M334" s="13"/>
    </row>
    <row r="335" spans="2:13" x14ac:dyDescent="0.35">
      <c r="B335" s="43">
        <v>44629.519375000003</v>
      </c>
      <c r="C335" t="s">
        <v>53</v>
      </c>
      <c r="D335" t="s">
        <v>11</v>
      </c>
      <c r="E335" t="s">
        <v>78</v>
      </c>
      <c r="F335" t="s">
        <v>33</v>
      </c>
      <c r="G335" s="13">
        <v>50</v>
      </c>
      <c r="J335" s="43"/>
      <c r="M335" s="13"/>
    </row>
    <row r="336" spans="2:13" x14ac:dyDescent="0.35">
      <c r="B336" s="43">
        <v>44636.538611111115</v>
      </c>
      <c r="C336" t="s">
        <v>53</v>
      </c>
      <c r="D336" t="s">
        <v>11</v>
      </c>
      <c r="E336" t="s">
        <v>78</v>
      </c>
      <c r="F336" t="s">
        <v>33</v>
      </c>
      <c r="G336" s="13">
        <v>50</v>
      </c>
      <c r="J336" s="43"/>
      <c r="M336" s="13"/>
    </row>
    <row r="337" spans="2:13" x14ac:dyDescent="0.35">
      <c r="B337" s="43">
        <v>44643.557847222219</v>
      </c>
      <c r="C337" t="s">
        <v>53</v>
      </c>
      <c r="D337" t="s">
        <v>11</v>
      </c>
      <c r="E337" t="s">
        <v>78</v>
      </c>
      <c r="F337" t="s">
        <v>33</v>
      </c>
      <c r="G337" s="13">
        <v>50</v>
      </c>
      <c r="J337" s="43"/>
      <c r="M337" s="13"/>
    </row>
    <row r="338" spans="2:13" x14ac:dyDescent="0.35">
      <c r="B338" s="43">
        <v>44650.57708333333</v>
      </c>
      <c r="C338" t="s">
        <v>53</v>
      </c>
      <c r="D338" t="s">
        <v>11</v>
      </c>
      <c r="E338" t="s">
        <v>78</v>
      </c>
      <c r="F338" t="s">
        <v>33</v>
      </c>
      <c r="G338" s="13">
        <v>50</v>
      </c>
      <c r="J338" s="43"/>
      <c r="M338" s="13"/>
    </row>
    <row r="339" spans="2:13" x14ac:dyDescent="0.35">
      <c r="B339" s="43">
        <v>44657.596319444441</v>
      </c>
      <c r="C339" t="s">
        <v>53</v>
      </c>
      <c r="D339" t="s">
        <v>11</v>
      </c>
      <c r="E339" t="s">
        <v>78</v>
      </c>
      <c r="F339" t="s">
        <v>33</v>
      </c>
      <c r="G339" s="13">
        <v>50</v>
      </c>
      <c r="J339" s="43"/>
      <c r="M339" s="13"/>
    </row>
    <row r="340" spans="2:13" x14ac:dyDescent="0.35">
      <c r="B340" s="43">
        <v>44664.615555555552</v>
      </c>
      <c r="C340" t="s">
        <v>53</v>
      </c>
      <c r="D340" t="s">
        <v>11</v>
      </c>
      <c r="E340" t="s">
        <v>78</v>
      </c>
      <c r="F340" t="s">
        <v>33</v>
      </c>
      <c r="G340" s="13">
        <v>50</v>
      </c>
      <c r="J340" s="43"/>
      <c r="M340" s="13"/>
    </row>
    <row r="341" spans="2:13" x14ac:dyDescent="0.35">
      <c r="B341" s="43">
        <v>44671.634791666664</v>
      </c>
      <c r="C341" t="s">
        <v>53</v>
      </c>
      <c r="D341" t="s">
        <v>11</v>
      </c>
      <c r="E341" t="s">
        <v>78</v>
      </c>
      <c r="F341" t="s">
        <v>33</v>
      </c>
      <c r="G341" s="13">
        <v>50</v>
      </c>
      <c r="J341" s="43"/>
      <c r="M341" s="13"/>
    </row>
    <row r="342" spans="2:13" x14ac:dyDescent="0.35">
      <c r="B342" s="43">
        <v>44678.654027777775</v>
      </c>
      <c r="C342" t="s">
        <v>53</v>
      </c>
      <c r="D342" t="s">
        <v>11</v>
      </c>
      <c r="E342" t="s">
        <v>78</v>
      </c>
      <c r="F342" t="s">
        <v>33</v>
      </c>
      <c r="G342" s="13">
        <v>50</v>
      </c>
      <c r="J342" s="43"/>
      <c r="M342" s="13"/>
    </row>
    <row r="343" spans="2:13" x14ac:dyDescent="0.35">
      <c r="B343" s="43">
        <v>44685.673263888886</v>
      </c>
      <c r="C343" t="s">
        <v>53</v>
      </c>
      <c r="D343" t="s">
        <v>11</v>
      </c>
      <c r="E343" t="s">
        <v>78</v>
      </c>
      <c r="F343" t="s">
        <v>33</v>
      </c>
      <c r="G343" s="13">
        <v>50</v>
      </c>
      <c r="J343" s="43"/>
      <c r="M343" s="13"/>
    </row>
    <row r="344" spans="2:13" x14ac:dyDescent="0.35">
      <c r="B344" s="43">
        <v>44692.692499999997</v>
      </c>
      <c r="C344" t="s">
        <v>53</v>
      </c>
      <c r="D344" t="s">
        <v>11</v>
      </c>
      <c r="E344" t="s">
        <v>78</v>
      </c>
      <c r="F344" t="s">
        <v>33</v>
      </c>
      <c r="G344" s="13">
        <v>50</v>
      </c>
      <c r="J344" s="43"/>
      <c r="M344" s="13"/>
    </row>
    <row r="345" spans="2:13" x14ac:dyDescent="0.35">
      <c r="B345" s="28">
        <v>44699.711736111109</v>
      </c>
      <c r="C345" t="s">
        <v>53</v>
      </c>
      <c r="D345" t="s">
        <v>11</v>
      </c>
      <c r="E345" t="s">
        <v>78</v>
      </c>
      <c r="F345" t="s">
        <v>33</v>
      </c>
      <c r="G345" s="13">
        <v>50</v>
      </c>
      <c r="J345" s="43"/>
      <c r="M345" s="13"/>
    </row>
    <row r="346" spans="2:13" x14ac:dyDescent="0.35">
      <c r="B346" s="43">
        <v>44706.73097222222</v>
      </c>
      <c r="C346" t="s">
        <v>53</v>
      </c>
      <c r="D346" t="s">
        <v>11</v>
      </c>
      <c r="E346" t="s">
        <v>78</v>
      </c>
      <c r="F346" t="s">
        <v>33</v>
      </c>
      <c r="G346" s="13">
        <v>50</v>
      </c>
      <c r="J346" s="43"/>
      <c r="M346" s="13"/>
    </row>
    <row r="347" spans="2:13" x14ac:dyDescent="0.35">
      <c r="B347" s="43">
        <v>44713.750208333331</v>
      </c>
      <c r="C347" t="s">
        <v>53</v>
      </c>
      <c r="D347" t="s">
        <v>11</v>
      </c>
      <c r="E347" t="s">
        <v>78</v>
      </c>
      <c r="F347" t="s">
        <v>33</v>
      </c>
      <c r="G347" s="13">
        <v>50</v>
      </c>
      <c r="J347" s="43"/>
      <c r="M347" s="13"/>
    </row>
    <row r="348" spans="2:13" x14ac:dyDescent="0.35">
      <c r="B348" s="43">
        <v>44720.769444444442</v>
      </c>
      <c r="C348" t="s">
        <v>53</v>
      </c>
      <c r="D348" t="s">
        <v>11</v>
      </c>
      <c r="E348" t="s">
        <v>78</v>
      </c>
      <c r="F348" t="s">
        <v>33</v>
      </c>
      <c r="G348" s="13">
        <v>50</v>
      </c>
      <c r="J348" s="43"/>
      <c r="M348" s="13"/>
    </row>
    <row r="349" spans="2:13" x14ac:dyDescent="0.35">
      <c r="B349" s="43">
        <v>44727.788680555554</v>
      </c>
      <c r="C349" t="s">
        <v>53</v>
      </c>
      <c r="D349" t="s">
        <v>11</v>
      </c>
      <c r="E349" t="s">
        <v>78</v>
      </c>
      <c r="F349" t="s">
        <v>33</v>
      </c>
      <c r="G349" s="13">
        <v>50</v>
      </c>
      <c r="J349" s="43"/>
      <c r="M349" s="13"/>
    </row>
    <row r="350" spans="2:13" x14ac:dyDescent="0.35">
      <c r="B350" s="43">
        <v>44734.807916666665</v>
      </c>
      <c r="C350" t="s">
        <v>53</v>
      </c>
      <c r="D350" t="s">
        <v>11</v>
      </c>
      <c r="E350" t="s">
        <v>78</v>
      </c>
      <c r="F350" t="s">
        <v>33</v>
      </c>
      <c r="G350" s="13">
        <v>50</v>
      </c>
      <c r="J350" s="43"/>
      <c r="M350" s="13"/>
    </row>
    <row r="351" spans="2:13" x14ac:dyDescent="0.35">
      <c r="B351" s="43">
        <v>44741.827152777776</v>
      </c>
      <c r="C351" t="s">
        <v>53</v>
      </c>
      <c r="D351" t="s">
        <v>11</v>
      </c>
      <c r="E351" t="s">
        <v>78</v>
      </c>
      <c r="F351" t="s">
        <v>33</v>
      </c>
      <c r="G351" s="13">
        <v>50</v>
      </c>
      <c r="J351" s="43"/>
      <c r="M351" s="13"/>
    </row>
    <row r="352" spans="2:13" x14ac:dyDescent="0.35">
      <c r="B352" s="43">
        <v>44748.846388888887</v>
      </c>
      <c r="C352" t="s">
        <v>53</v>
      </c>
      <c r="D352" t="s">
        <v>11</v>
      </c>
      <c r="E352" t="s">
        <v>78</v>
      </c>
      <c r="F352" t="s">
        <v>33</v>
      </c>
      <c r="G352" s="13">
        <v>50</v>
      </c>
      <c r="J352" s="43"/>
      <c r="M352" s="13"/>
    </row>
    <row r="353" spans="2:13" x14ac:dyDescent="0.35">
      <c r="B353" s="1">
        <v>44755.865624999999</v>
      </c>
      <c r="C353" t="s">
        <v>53</v>
      </c>
      <c r="D353" t="s">
        <v>11</v>
      </c>
      <c r="E353" t="s">
        <v>78</v>
      </c>
      <c r="F353" t="s">
        <v>33</v>
      </c>
      <c r="G353" s="13">
        <v>50</v>
      </c>
      <c r="J353" s="43"/>
      <c r="M353" s="13"/>
    </row>
    <row r="354" spans="2:13" x14ac:dyDescent="0.35">
      <c r="B354" s="43">
        <v>44762.88486111111</v>
      </c>
      <c r="C354" t="s">
        <v>53</v>
      </c>
      <c r="D354" t="s">
        <v>11</v>
      </c>
      <c r="E354" t="s">
        <v>78</v>
      </c>
      <c r="F354" t="s">
        <v>33</v>
      </c>
      <c r="G354" s="13">
        <v>50</v>
      </c>
      <c r="J354" s="43"/>
      <c r="M354" s="13"/>
    </row>
    <row r="355" spans="2:13" x14ac:dyDescent="0.35">
      <c r="B355" s="43">
        <v>44769.904097222221</v>
      </c>
      <c r="C355" t="s">
        <v>53</v>
      </c>
      <c r="D355" t="s">
        <v>11</v>
      </c>
      <c r="E355" t="s">
        <v>78</v>
      </c>
      <c r="F355" t="s">
        <v>33</v>
      </c>
      <c r="G355" s="13">
        <v>50</v>
      </c>
      <c r="J355" s="43"/>
      <c r="M355" s="13"/>
    </row>
    <row r="356" spans="2:13" x14ac:dyDescent="0.35">
      <c r="B356" s="43">
        <v>44776.923333333332</v>
      </c>
      <c r="C356" t="s">
        <v>53</v>
      </c>
      <c r="D356" t="s">
        <v>11</v>
      </c>
      <c r="E356" t="s">
        <v>78</v>
      </c>
      <c r="F356" t="s">
        <v>33</v>
      </c>
      <c r="G356" s="13">
        <v>50</v>
      </c>
      <c r="J356" s="43"/>
      <c r="M356" s="13"/>
    </row>
    <row r="357" spans="2:13" x14ac:dyDescent="0.35">
      <c r="B357" s="43">
        <v>44783.942569444444</v>
      </c>
      <c r="C357" t="s">
        <v>53</v>
      </c>
      <c r="D357" t="s">
        <v>11</v>
      </c>
      <c r="E357" t="s">
        <v>78</v>
      </c>
      <c r="F357" t="s">
        <v>33</v>
      </c>
      <c r="G357" s="13">
        <v>50</v>
      </c>
      <c r="J357" s="43"/>
      <c r="M357" s="13"/>
    </row>
    <row r="358" spans="2:13" x14ac:dyDescent="0.35">
      <c r="B358" s="43">
        <v>44790.961805555555</v>
      </c>
      <c r="C358" t="s">
        <v>53</v>
      </c>
      <c r="D358" t="s">
        <v>11</v>
      </c>
      <c r="E358" t="s">
        <v>78</v>
      </c>
      <c r="F358" t="s">
        <v>33</v>
      </c>
      <c r="G358" s="13">
        <v>50</v>
      </c>
      <c r="J358" s="43"/>
      <c r="M358" s="13"/>
    </row>
    <row r="359" spans="2:13" x14ac:dyDescent="0.35">
      <c r="B359" s="43">
        <v>44797.981041666666</v>
      </c>
      <c r="C359" t="s">
        <v>53</v>
      </c>
      <c r="D359" t="s">
        <v>11</v>
      </c>
      <c r="E359" t="s">
        <v>78</v>
      </c>
      <c r="F359" t="s">
        <v>33</v>
      </c>
      <c r="G359" s="13">
        <v>50</v>
      </c>
      <c r="J359" s="43"/>
      <c r="M359" s="13"/>
    </row>
    <row r="360" spans="2:13" x14ac:dyDescent="0.35">
      <c r="B360" s="43">
        <v>44805.000277777777</v>
      </c>
      <c r="C360" t="s">
        <v>53</v>
      </c>
      <c r="D360" t="s">
        <v>11</v>
      </c>
      <c r="E360" t="s">
        <v>78</v>
      </c>
      <c r="F360" t="s">
        <v>33</v>
      </c>
      <c r="G360" s="13">
        <v>50</v>
      </c>
      <c r="J360" s="43"/>
      <c r="M360" s="13"/>
    </row>
    <row r="361" spans="2:13" x14ac:dyDescent="0.35">
      <c r="B361" s="43">
        <v>44812.019513888888</v>
      </c>
      <c r="C361" t="s">
        <v>53</v>
      </c>
      <c r="D361" t="s">
        <v>11</v>
      </c>
      <c r="E361" t="s">
        <v>78</v>
      </c>
      <c r="F361" t="s">
        <v>33</v>
      </c>
      <c r="G361" s="13">
        <v>50</v>
      </c>
      <c r="J361" s="43"/>
      <c r="M361" s="13"/>
    </row>
    <row r="362" spans="2:13" x14ac:dyDescent="0.35">
      <c r="B362" s="43">
        <v>44819.03875</v>
      </c>
      <c r="C362" t="s">
        <v>53</v>
      </c>
      <c r="D362" t="s">
        <v>11</v>
      </c>
      <c r="E362" t="s">
        <v>78</v>
      </c>
      <c r="F362" t="s">
        <v>33</v>
      </c>
      <c r="G362" s="13">
        <v>50</v>
      </c>
      <c r="J362" s="43"/>
      <c r="M362" s="13"/>
    </row>
    <row r="363" spans="2:13" x14ac:dyDescent="0.35">
      <c r="B363" s="43">
        <v>44826.057986111111</v>
      </c>
      <c r="C363" t="s">
        <v>53</v>
      </c>
      <c r="D363" t="s">
        <v>11</v>
      </c>
      <c r="E363" t="s">
        <v>78</v>
      </c>
      <c r="F363" t="s">
        <v>33</v>
      </c>
      <c r="G363" s="13">
        <v>50</v>
      </c>
      <c r="J363" s="43"/>
      <c r="M363" s="13"/>
    </row>
    <row r="364" spans="2:13" x14ac:dyDescent="0.35">
      <c r="B364" s="43">
        <v>44833.077222222222</v>
      </c>
      <c r="C364" t="s">
        <v>53</v>
      </c>
      <c r="D364" t="s">
        <v>11</v>
      </c>
      <c r="E364" t="s">
        <v>78</v>
      </c>
      <c r="F364" t="s">
        <v>33</v>
      </c>
      <c r="G364" s="13">
        <v>50</v>
      </c>
      <c r="J364" s="43"/>
      <c r="M364" s="13"/>
    </row>
    <row r="365" spans="2:13" x14ac:dyDescent="0.35">
      <c r="B365" s="43">
        <v>44840.096458333333</v>
      </c>
      <c r="C365" t="s">
        <v>53</v>
      </c>
      <c r="D365" t="s">
        <v>11</v>
      </c>
      <c r="E365" t="s">
        <v>78</v>
      </c>
      <c r="F365" t="s">
        <v>33</v>
      </c>
      <c r="G365" s="13">
        <v>50</v>
      </c>
      <c r="J365" s="43"/>
      <c r="M365" s="13"/>
    </row>
    <row r="366" spans="2:13" x14ac:dyDescent="0.35">
      <c r="B366" s="43">
        <v>44847.115694444445</v>
      </c>
      <c r="C366" t="s">
        <v>53</v>
      </c>
      <c r="D366" t="s">
        <v>11</v>
      </c>
      <c r="E366" t="s">
        <v>78</v>
      </c>
      <c r="F366" t="s">
        <v>33</v>
      </c>
      <c r="G366" s="13">
        <v>50</v>
      </c>
      <c r="J366" s="43"/>
      <c r="M366" s="13"/>
    </row>
    <row r="367" spans="2:13" x14ac:dyDescent="0.35">
      <c r="B367" s="43">
        <v>44854.134930555556</v>
      </c>
      <c r="C367" t="s">
        <v>53</v>
      </c>
      <c r="D367" t="s">
        <v>11</v>
      </c>
      <c r="E367" t="s">
        <v>78</v>
      </c>
      <c r="F367" t="s">
        <v>33</v>
      </c>
      <c r="G367" s="13">
        <v>50</v>
      </c>
      <c r="J367" s="43"/>
      <c r="M367" s="13"/>
    </row>
    <row r="368" spans="2:13" x14ac:dyDescent="0.35">
      <c r="B368" s="43">
        <v>44861.154166666667</v>
      </c>
      <c r="C368" t="s">
        <v>53</v>
      </c>
      <c r="D368" t="s">
        <v>11</v>
      </c>
      <c r="E368" t="s">
        <v>78</v>
      </c>
      <c r="F368" t="s">
        <v>33</v>
      </c>
      <c r="G368" s="13">
        <v>50</v>
      </c>
      <c r="J368" s="43"/>
      <c r="M368" s="13"/>
    </row>
    <row r="369" spans="2:13" x14ac:dyDescent="0.35">
      <c r="B369" s="43">
        <v>44868.173402777778</v>
      </c>
      <c r="C369" t="s">
        <v>53</v>
      </c>
      <c r="D369" t="s">
        <v>11</v>
      </c>
      <c r="E369" t="s">
        <v>78</v>
      </c>
      <c r="F369" t="s">
        <v>33</v>
      </c>
      <c r="G369" s="13">
        <v>50</v>
      </c>
      <c r="J369" s="43"/>
      <c r="M369" s="13"/>
    </row>
    <row r="370" spans="2:13" x14ac:dyDescent="0.35">
      <c r="B370" s="43">
        <v>44875.19263888889</v>
      </c>
      <c r="C370" t="s">
        <v>53</v>
      </c>
      <c r="D370" t="s">
        <v>11</v>
      </c>
      <c r="E370" t="s">
        <v>78</v>
      </c>
      <c r="F370" t="s">
        <v>33</v>
      </c>
      <c r="G370" s="13">
        <v>50</v>
      </c>
      <c r="J370" s="43"/>
      <c r="M370" s="13"/>
    </row>
    <row r="371" spans="2:13" x14ac:dyDescent="0.35">
      <c r="B371" s="43">
        <v>44882.211875000001</v>
      </c>
      <c r="C371" t="s">
        <v>53</v>
      </c>
      <c r="D371" t="s">
        <v>11</v>
      </c>
      <c r="E371" t="s">
        <v>78</v>
      </c>
      <c r="F371" t="s">
        <v>33</v>
      </c>
      <c r="G371" s="13">
        <v>50</v>
      </c>
      <c r="J371" s="43"/>
      <c r="M371" s="13"/>
    </row>
    <row r="372" spans="2:13" x14ac:dyDescent="0.35">
      <c r="B372" s="43">
        <v>44889.231111111112</v>
      </c>
      <c r="C372" t="s">
        <v>53</v>
      </c>
      <c r="D372" t="s">
        <v>11</v>
      </c>
      <c r="E372" t="s">
        <v>78</v>
      </c>
      <c r="F372" t="s">
        <v>33</v>
      </c>
      <c r="G372" s="13">
        <v>50</v>
      </c>
      <c r="J372" s="43"/>
      <c r="M372" s="13"/>
    </row>
    <row r="373" spans="2:13" x14ac:dyDescent="0.35">
      <c r="B373" s="43">
        <v>44896.250347222223</v>
      </c>
      <c r="C373" t="s">
        <v>53</v>
      </c>
      <c r="D373" t="s">
        <v>11</v>
      </c>
      <c r="E373" t="s">
        <v>78</v>
      </c>
      <c r="F373" t="s">
        <v>33</v>
      </c>
      <c r="G373" s="13">
        <v>50</v>
      </c>
      <c r="J373" s="43"/>
      <c r="M373" s="13"/>
    </row>
    <row r="374" spans="2:13" x14ac:dyDescent="0.35">
      <c r="B374" s="43">
        <v>44903.269583333335</v>
      </c>
      <c r="C374" t="s">
        <v>53</v>
      </c>
      <c r="D374" t="s">
        <v>11</v>
      </c>
      <c r="E374" t="s">
        <v>78</v>
      </c>
      <c r="F374" t="s">
        <v>33</v>
      </c>
      <c r="G374" s="13">
        <v>50</v>
      </c>
      <c r="J374" s="43"/>
      <c r="M374" s="13"/>
    </row>
    <row r="375" spans="2:13" x14ac:dyDescent="0.35">
      <c r="B375" s="43">
        <v>44910.288819444446</v>
      </c>
      <c r="C375" t="s">
        <v>53</v>
      </c>
      <c r="D375" t="s">
        <v>11</v>
      </c>
      <c r="E375" t="s">
        <v>78</v>
      </c>
      <c r="F375" t="s">
        <v>33</v>
      </c>
      <c r="G375" s="13">
        <v>50</v>
      </c>
      <c r="J375" s="43"/>
      <c r="M375" s="13"/>
    </row>
    <row r="376" spans="2:13" x14ac:dyDescent="0.35">
      <c r="B376" s="43">
        <v>44917.308055555557</v>
      </c>
      <c r="C376" t="s">
        <v>53</v>
      </c>
      <c r="D376" t="s">
        <v>11</v>
      </c>
      <c r="E376" t="s">
        <v>78</v>
      </c>
      <c r="F376" t="s">
        <v>33</v>
      </c>
      <c r="G376" s="13">
        <v>50</v>
      </c>
      <c r="J376" s="43"/>
      <c r="M376" s="13"/>
    </row>
    <row r="377" spans="2:13" x14ac:dyDescent="0.35">
      <c r="B377" s="43">
        <v>44924.327291666668</v>
      </c>
      <c r="C377" t="s">
        <v>53</v>
      </c>
      <c r="D377" t="s">
        <v>11</v>
      </c>
      <c r="E377" t="s">
        <v>78</v>
      </c>
      <c r="F377" t="s">
        <v>33</v>
      </c>
      <c r="G377" s="13">
        <v>50</v>
      </c>
      <c r="J377" s="43"/>
      <c r="M377" s="13"/>
    </row>
    <row r="378" spans="2:13" x14ac:dyDescent="0.35">
      <c r="B378" s="43">
        <v>44931.34652777778</v>
      </c>
      <c r="C378" t="s">
        <v>53</v>
      </c>
      <c r="D378" t="s">
        <v>11</v>
      </c>
      <c r="E378" t="s">
        <v>78</v>
      </c>
      <c r="F378" t="s">
        <v>33</v>
      </c>
      <c r="G378" s="13">
        <v>50</v>
      </c>
      <c r="J378" s="43"/>
      <c r="M378" s="13"/>
    </row>
    <row r="379" spans="2:13" x14ac:dyDescent="0.35">
      <c r="B379" s="43">
        <v>44938.365763888891</v>
      </c>
      <c r="C379" t="s">
        <v>53</v>
      </c>
      <c r="D379" t="s">
        <v>11</v>
      </c>
      <c r="E379" t="s">
        <v>78</v>
      </c>
      <c r="F379" t="s">
        <v>33</v>
      </c>
      <c r="G379" s="13">
        <v>50</v>
      </c>
      <c r="J379" s="43"/>
      <c r="M379" s="13"/>
    </row>
    <row r="380" spans="2:13" x14ac:dyDescent="0.35">
      <c r="B380" s="43">
        <v>44945.385000000002</v>
      </c>
      <c r="C380" t="s">
        <v>53</v>
      </c>
      <c r="D380" t="s">
        <v>11</v>
      </c>
      <c r="E380" t="s">
        <v>78</v>
      </c>
      <c r="F380" t="s">
        <v>33</v>
      </c>
      <c r="G380" s="13">
        <v>50</v>
      </c>
      <c r="J380" s="43"/>
      <c r="M380" s="13"/>
    </row>
    <row r="381" spans="2:13" x14ac:dyDescent="0.35">
      <c r="B381" s="43">
        <v>44952.404236111113</v>
      </c>
      <c r="C381" t="s">
        <v>53</v>
      </c>
      <c r="D381" t="s">
        <v>11</v>
      </c>
      <c r="E381" t="s">
        <v>78</v>
      </c>
      <c r="F381" t="s">
        <v>33</v>
      </c>
      <c r="G381" s="13">
        <v>50</v>
      </c>
      <c r="J381" s="43"/>
      <c r="M381" s="13"/>
    </row>
    <row r="382" spans="2:13" x14ac:dyDescent="0.35">
      <c r="B382" s="43">
        <v>44959.423472222225</v>
      </c>
      <c r="C382" t="s">
        <v>53</v>
      </c>
      <c r="D382" t="s">
        <v>11</v>
      </c>
      <c r="E382" t="s">
        <v>78</v>
      </c>
      <c r="F382" t="s">
        <v>33</v>
      </c>
      <c r="G382" s="13">
        <v>50</v>
      </c>
      <c r="J382" s="43"/>
      <c r="M382" s="13"/>
    </row>
    <row r="383" spans="2:13" x14ac:dyDescent="0.35">
      <c r="B383" s="43">
        <v>44966.442708333336</v>
      </c>
      <c r="C383" t="s">
        <v>53</v>
      </c>
      <c r="D383" t="s">
        <v>11</v>
      </c>
      <c r="E383" t="s">
        <v>78</v>
      </c>
      <c r="F383" t="s">
        <v>33</v>
      </c>
      <c r="G383" s="13">
        <v>50</v>
      </c>
      <c r="J383" s="43"/>
      <c r="M383" s="13"/>
    </row>
    <row r="384" spans="2:13" x14ac:dyDescent="0.35">
      <c r="B384" s="43">
        <v>44973.461944444447</v>
      </c>
      <c r="C384" t="s">
        <v>53</v>
      </c>
      <c r="D384" t="s">
        <v>11</v>
      </c>
      <c r="E384" t="s">
        <v>78</v>
      </c>
      <c r="F384" t="s">
        <v>33</v>
      </c>
      <c r="G384" s="13">
        <v>50</v>
      </c>
      <c r="J384" s="43"/>
      <c r="M384" s="13"/>
    </row>
    <row r="385" spans="2:13" x14ac:dyDescent="0.35">
      <c r="B385" s="43">
        <v>44980.481180555558</v>
      </c>
      <c r="C385" t="s">
        <v>53</v>
      </c>
      <c r="D385" t="s">
        <v>11</v>
      </c>
      <c r="E385" t="s">
        <v>78</v>
      </c>
      <c r="F385" t="s">
        <v>33</v>
      </c>
      <c r="G385" s="13">
        <v>50</v>
      </c>
      <c r="J385" s="43"/>
      <c r="M385" s="13"/>
    </row>
    <row r="386" spans="2:13" x14ac:dyDescent="0.35">
      <c r="B386" s="43">
        <v>44987.500416666669</v>
      </c>
      <c r="C386" t="s">
        <v>53</v>
      </c>
      <c r="D386" t="s">
        <v>11</v>
      </c>
      <c r="E386" t="s">
        <v>78</v>
      </c>
      <c r="F386" t="s">
        <v>33</v>
      </c>
      <c r="G386" s="13">
        <v>50</v>
      </c>
      <c r="J386" s="43"/>
      <c r="M386" s="13"/>
    </row>
    <row r="387" spans="2:13" x14ac:dyDescent="0.35">
      <c r="B387" s="43">
        <v>44994.519652777781</v>
      </c>
      <c r="C387" t="s">
        <v>53</v>
      </c>
      <c r="D387" t="s">
        <v>11</v>
      </c>
      <c r="E387" t="s">
        <v>78</v>
      </c>
      <c r="F387" t="s">
        <v>33</v>
      </c>
      <c r="G387" s="13">
        <v>50</v>
      </c>
      <c r="J387" s="43"/>
      <c r="M387" s="13"/>
    </row>
    <row r="388" spans="2:13" x14ac:dyDescent="0.35">
      <c r="B388" s="43">
        <v>45001.538888888892</v>
      </c>
      <c r="C388" t="s">
        <v>53</v>
      </c>
      <c r="D388" t="s">
        <v>11</v>
      </c>
      <c r="E388" t="s">
        <v>78</v>
      </c>
      <c r="F388" t="s">
        <v>33</v>
      </c>
      <c r="G388" s="13">
        <v>50</v>
      </c>
      <c r="J388" s="43"/>
      <c r="M388" s="13"/>
    </row>
    <row r="389" spans="2:13" x14ac:dyDescent="0.35">
      <c r="B389" s="43">
        <v>45008.558125000003</v>
      </c>
      <c r="C389" t="s">
        <v>53</v>
      </c>
      <c r="D389" t="s">
        <v>11</v>
      </c>
      <c r="E389" t="s">
        <v>78</v>
      </c>
      <c r="F389" t="s">
        <v>33</v>
      </c>
      <c r="G389" s="13">
        <v>50</v>
      </c>
      <c r="J389" s="43"/>
      <c r="M389" s="13"/>
    </row>
    <row r="390" spans="2:13" x14ac:dyDescent="0.35">
      <c r="B390" s="43">
        <v>45015.577361111114</v>
      </c>
      <c r="C390" t="s">
        <v>53</v>
      </c>
      <c r="D390" t="s">
        <v>11</v>
      </c>
      <c r="E390" t="s">
        <v>78</v>
      </c>
      <c r="F390" t="s">
        <v>33</v>
      </c>
      <c r="G390" s="13">
        <v>50</v>
      </c>
      <c r="J390" s="43"/>
      <c r="M390" s="13"/>
    </row>
    <row r="391" spans="2:13" x14ac:dyDescent="0.35">
      <c r="B391" s="43">
        <v>45022.596597222226</v>
      </c>
      <c r="C391" t="s">
        <v>53</v>
      </c>
      <c r="D391" t="s">
        <v>11</v>
      </c>
      <c r="E391" t="s">
        <v>78</v>
      </c>
      <c r="F391" t="s">
        <v>33</v>
      </c>
      <c r="G391" s="13">
        <v>50</v>
      </c>
      <c r="J391" s="43"/>
      <c r="M391" s="13"/>
    </row>
    <row r="392" spans="2:13" x14ac:dyDescent="0.35">
      <c r="B392" s="43">
        <v>45029.615833333337</v>
      </c>
      <c r="C392" t="s">
        <v>53</v>
      </c>
      <c r="D392" t="s">
        <v>11</v>
      </c>
      <c r="E392" t="s">
        <v>78</v>
      </c>
      <c r="F392" t="s">
        <v>33</v>
      </c>
      <c r="G392" s="13">
        <v>50</v>
      </c>
      <c r="J392" s="43"/>
      <c r="M392" s="13"/>
    </row>
    <row r="393" spans="2:13" x14ac:dyDescent="0.35">
      <c r="B393" s="43">
        <v>45036.635069444441</v>
      </c>
      <c r="C393" t="s">
        <v>53</v>
      </c>
      <c r="D393" t="s">
        <v>11</v>
      </c>
      <c r="E393" t="s">
        <v>78</v>
      </c>
      <c r="F393" t="s">
        <v>33</v>
      </c>
      <c r="G393" s="13">
        <v>50</v>
      </c>
      <c r="J393" s="43"/>
      <c r="M393" s="13"/>
    </row>
    <row r="394" spans="2:13" x14ac:dyDescent="0.35">
      <c r="B394" s="43">
        <v>45043.654305555552</v>
      </c>
      <c r="C394" t="s">
        <v>53</v>
      </c>
      <c r="D394" t="s">
        <v>11</v>
      </c>
      <c r="E394" t="s">
        <v>78</v>
      </c>
      <c r="F394" t="s">
        <v>33</v>
      </c>
      <c r="G394" s="13">
        <v>50</v>
      </c>
      <c r="J394" s="43"/>
      <c r="M394" s="13"/>
    </row>
    <row r="395" spans="2:13" x14ac:dyDescent="0.35">
      <c r="B395" s="43">
        <v>45050.673541666663</v>
      </c>
      <c r="C395" t="s">
        <v>53</v>
      </c>
      <c r="D395" t="s">
        <v>11</v>
      </c>
      <c r="E395" t="s">
        <v>78</v>
      </c>
      <c r="F395" t="s">
        <v>33</v>
      </c>
      <c r="G395" s="13">
        <v>50</v>
      </c>
      <c r="J395" s="43"/>
      <c r="M395" s="13"/>
    </row>
    <row r="396" spans="2:13" x14ac:dyDescent="0.35">
      <c r="B396" s="43">
        <v>45057.692777777775</v>
      </c>
      <c r="C396" t="s">
        <v>53</v>
      </c>
      <c r="D396" t="s">
        <v>11</v>
      </c>
      <c r="E396" t="s">
        <v>78</v>
      </c>
      <c r="F396" t="s">
        <v>33</v>
      </c>
      <c r="G396" s="13">
        <v>50</v>
      </c>
      <c r="J396" s="43"/>
      <c r="M396" s="13"/>
    </row>
    <row r="397" spans="2:13" x14ac:dyDescent="0.35">
      <c r="B397" s="43">
        <v>45064.712013888886</v>
      </c>
      <c r="C397" t="s">
        <v>53</v>
      </c>
      <c r="D397" t="s">
        <v>11</v>
      </c>
      <c r="E397" t="s">
        <v>78</v>
      </c>
      <c r="F397" t="s">
        <v>33</v>
      </c>
      <c r="G397" s="13">
        <v>50</v>
      </c>
      <c r="J397" s="43"/>
      <c r="M397" s="13"/>
    </row>
    <row r="398" spans="2:13" x14ac:dyDescent="0.35">
      <c r="B398" s="43">
        <v>45071.731249999997</v>
      </c>
      <c r="C398" t="s">
        <v>53</v>
      </c>
      <c r="D398" t="s">
        <v>11</v>
      </c>
      <c r="E398" t="s">
        <v>78</v>
      </c>
      <c r="F398" t="s">
        <v>33</v>
      </c>
      <c r="G398" s="13">
        <v>50</v>
      </c>
      <c r="J398" s="43"/>
      <c r="M398" s="13"/>
    </row>
    <row r="399" spans="2:13" x14ac:dyDescent="0.35">
      <c r="B399" s="43">
        <v>45078.750486111108</v>
      </c>
      <c r="C399" t="s">
        <v>53</v>
      </c>
      <c r="D399" t="s">
        <v>11</v>
      </c>
      <c r="E399" t="s">
        <v>78</v>
      </c>
      <c r="F399" t="s">
        <v>33</v>
      </c>
      <c r="G399" s="13">
        <v>50</v>
      </c>
      <c r="J399" s="43"/>
      <c r="M399" s="13"/>
    </row>
    <row r="400" spans="2:13" x14ac:dyDescent="0.35">
      <c r="B400" s="43">
        <v>45085.76972222222</v>
      </c>
      <c r="C400" t="s">
        <v>53</v>
      </c>
      <c r="D400" t="s">
        <v>11</v>
      </c>
      <c r="E400" t="s">
        <v>78</v>
      </c>
      <c r="F400" t="s">
        <v>33</v>
      </c>
      <c r="G400" s="13">
        <v>50</v>
      </c>
      <c r="J400" s="43"/>
      <c r="M400" s="13"/>
    </row>
    <row r="401" spans="2:13" x14ac:dyDescent="0.35">
      <c r="B401" s="43">
        <v>45092.788958333331</v>
      </c>
      <c r="C401" t="s">
        <v>53</v>
      </c>
      <c r="D401" t="s">
        <v>11</v>
      </c>
      <c r="E401" t="s">
        <v>78</v>
      </c>
      <c r="F401" t="s">
        <v>33</v>
      </c>
      <c r="G401" s="13">
        <v>50</v>
      </c>
      <c r="J401" s="43"/>
      <c r="M401" s="13"/>
    </row>
    <row r="402" spans="2:13" x14ac:dyDescent="0.35">
      <c r="B402" s="43">
        <v>45099.808194444442</v>
      </c>
      <c r="C402" t="s">
        <v>53</v>
      </c>
      <c r="D402" t="s">
        <v>11</v>
      </c>
      <c r="E402" t="s">
        <v>78</v>
      </c>
      <c r="F402" t="s">
        <v>33</v>
      </c>
      <c r="G402" s="13">
        <v>50</v>
      </c>
      <c r="J402" s="43"/>
      <c r="M402" s="13"/>
    </row>
    <row r="403" spans="2:13" x14ac:dyDescent="0.35">
      <c r="B403" s="43">
        <v>45106.827430555553</v>
      </c>
      <c r="C403" t="s">
        <v>53</v>
      </c>
      <c r="D403" t="s">
        <v>11</v>
      </c>
      <c r="E403" t="s">
        <v>78</v>
      </c>
      <c r="F403" t="s">
        <v>33</v>
      </c>
      <c r="G403" s="13">
        <v>50</v>
      </c>
      <c r="J403" s="43"/>
      <c r="M403" s="13"/>
    </row>
    <row r="404" spans="2:13" x14ac:dyDescent="0.35">
      <c r="B404" s="43">
        <v>45113.846666666665</v>
      </c>
      <c r="C404" t="s">
        <v>53</v>
      </c>
      <c r="D404" t="s">
        <v>11</v>
      </c>
      <c r="E404" t="s">
        <v>78</v>
      </c>
      <c r="F404" t="s">
        <v>33</v>
      </c>
      <c r="G404" s="13">
        <v>50</v>
      </c>
      <c r="J404" s="43"/>
      <c r="M404" s="13"/>
    </row>
    <row r="405" spans="2:13" x14ac:dyDescent="0.35">
      <c r="B405" s="43">
        <v>45120.865902777776</v>
      </c>
      <c r="C405" t="s">
        <v>53</v>
      </c>
      <c r="D405" t="s">
        <v>11</v>
      </c>
      <c r="E405" t="s">
        <v>78</v>
      </c>
      <c r="F405" t="s">
        <v>33</v>
      </c>
      <c r="G405" s="13">
        <v>50</v>
      </c>
      <c r="J405" s="43"/>
      <c r="M405" s="13"/>
    </row>
    <row r="406" spans="2:13" x14ac:dyDescent="0.35">
      <c r="B406" s="43">
        <v>45127.885138888887</v>
      </c>
      <c r="C406" t="s">
        <v>53</v>
      </c>
      <c r="D406" t="s">
        <v>11</v>
      </c>
      <c r="E406" t="s">
        <v>78</v>
      </c>
      <c r="F406" t="s">
        <v>33</v>
      </c>
      <c r="G406" s="13">
        <v>50</v>
      </c>
      <c r="J406" s="43"/>
      <c r="M406" s="13"/>
    </row>
    <row r="407" spans="2:13" x14ac:dyDescent="0.35">
      <c r="B407" s="43">
        <v>45134.904374999998</v>
      </c>
      <c r="C407" t="s">
        <v>53</v>
      </c>
      <c r="D407" t="s">
        <v>11</v>
      </c>
      <c r="E407" t="s">
        <v>78</v>
      </c>
      <c r="F407" t="s">
        <v>33</v>
      </c>
      <c r="G407" s="13">
        <v>50</v>
      </c>
      <c r="J407" s="43"/>
      <c r="M407" s="13"/>
    </row>
    <row r="408" spans="2:13" x14ac:dyDescent="0.35">
      <c r="B408" s="43">
        <v>45141.923611111109</v>
      </c>
      <c r="C408" t="s">
        <v>53</v>
      </c>
      <c r="D408" t="s">
        <v>11</v>
      </c>
      <c r="E408" t="s">
        <v>78</v>
      </c>
      <c r="F408" t="s">
        <v>33</v>
      </c>
      <c r="G408" s="13">
        <v>50</v>
      </c>
      <c r="J408" s="43"/>
      <c r="M408" s="13"/>
    </row>
    <row r="409" spans="2:13" x14ac:dyDescent="0.35">
      <c r="B409" s="43">
        <v>45148.942847222221</v>
      </c>
      <c r="C409" t="s">
        <v>53</v>
      </c>
      <c r="D409" t="s">
        <v>11</v>
      </c>
      <c r="E409" t="s">
        <v>78</v>
      </c>
      <c r="F409" t="s">
        <v>33</v>
      </c>
      <c r="G409" s="13">
        <v>50</v>
      </c>
      <c r="J409" s="43"/>
      <c r="M409" s="13"/>
    </row>
    <row r="410" spans="2:13" x14ac:dyDescent="0.35">
      <c r="B410" s="43">
        <v>45155.962083333332</v>
      </c>
      <c r="C410" t="s">
        <v>53</v>
      </c>
      <c r="D410" t="s">
        <v>11</v>
      </c>
      <c r="E410" t="s">
        <v>78</v>
      </c>
      <c r="F410" t="s">
        <v>33</v>
      </c>
      <c r="G410" s="13">
        <v>50</v>
      </c>
      <c r="J410" s="43"/>
      <c r="M410" s="13"/>
    </row>
    <row r="411" spans="2:13" x14ac:dyDescent="0.35">
      <c r="B411" s="43">
        <v>45162.981319444443</v>
      </c>
      <c r="C411" t="s">
        <v>53</v>
      </c>
      <c r="D411" t="s">
        <v>11</v>
      </c>
      <c r="E411" t="s">
        <v>78</v>
      </c>
      <c r="F411" t="s">
        <v>33</v>
      </c>
      <c r="G411" s="13">
        <v>50</v>
      </c>
      <c r="J411" s="43"/>
      <c r="M411" s="13"/>
    </row>
    <row r="412" spans="2:13" x14ac:dyDescent="0.35">
      <c r="B412" s="43">
        <v>45170.000555555554</v>
      </c>
      <c r="C412" t="s">
        <v>53</v>
      </c>
      <c r="D412" t="s">
        <v>11</v>
      </c>
      <c r="E412" t="s">
        <v>78</v>
      </c>
      <c r="F412" t="s">
        <v>33</v>
      </c>
      <c r="G412" s="13">
        <v>50</v>
      </c>
      <c r="J412" s="43"/>
      <c r="M412" s="13"/>
    </row>
    <row r="413" spans="2:13" x14ac:dyDescent="0.35">
      <c r="B413" s="43">
        <v>45177.019791666666</v>
      </c>
      <c r="C413" t="s">
        <v>53</v>
      </c>
      <c r="D413" t="s">
        <v>11</v>
      </c>
      <c r="E413" t="s">
        <v>78</v>
      </c>
      <c r="F413" t="s">
        <v>33</v>
      </c>
      <c r="G413" s="13">
        <v>50</v>
      </c>
      <c r="J413" s="43"/>
      <c r="M413" s="13"/>
    </row>
    <row r="414" spans="2:13" x14ac:dyDescent="0.35">
      <c r="B414" s="43">
        <v>45184.039027777777</v>
      </c>
      <c r="C414" t="s">
        <v>53</v>
      </c>
      <c r="D414" t="s">
        <v>11</v>
      </c>
      <c r="E414" t="s">
        <v>78</v>
      </c>
      <c r="F414" t="s">
        <v>33</v>
      </c>
      <c r="G414" s="13">
        <v>50</v>
      </c>
      <c r="J414" s="43"/>
      <c r="M414" s="13"/>
    </row>
    <row r="415" spans="2:13" x14ac:dyDescent="0.35">
      <c r="B415" s="43">
        <v>45191.058263888888</v>
      </c>
      <c r="C415" t="s">
        <v>53</v>
      </c>
      <c r="D415" t="s">
        <v>11</v>
      </c>
      <c r="E415" t="s">
        <v>78</v>
      </c>
      <c r="F415" t="s">
        <v>33</v>
      </c>
      <c r="G415" s="13">
        <v>50</v>
      </c>
      <c r="J415" s="43"/>
      <c r="M415" s="13"/>
    </row>
    <row r="416" spans="2:13" x14ac:dyDescent="0.35">
      <c r="B416" s="43">
        <v>45198.077499999999</v>
      </c>
      <c r="C416" t="s">
        <v>53</v>
      </c>
      <c r="D416" t="s">
        <v>11</v>
      </c>
      <c r="E416" t="s">
        <v>78</v>
      </c>
      <c r="F416" t="s">
        <v>33</v>
      </c>
      <c r="G416" s="13">
        <v>50</v>
      </c>
      <c r="J416" s="43"/>
      <c r="M416" s="13"/>
    </row>
    <row r="417" spans="2:13" x14ac:dyDescent="0.35">
      <c r="B417" s="43">
        <v>45205.096736111111</v>
      </c>
      <c r="C417" t="s">
        <v>53</v>
      </c>
      <c r="D417" t="s">
        <v>11</v>
      </c>
      <c r="E417" t="s">
        <v>78</v>
      </c>
      <c r="F417" t="s">
        <v>33</v>
      </c>
      <c r="G417" s="13">
        <v>50</v>
      </c>
      <c r="J417" s="43"/>
      <c r="M417" s="13"/>
    </row>
    <row r="418" spans="2:13" x14ac:dyDescent="0.35">
      <c r="B418" s="43">
        <v>45212.115972222222</v>
      </c>
      <c r="C418" t="s">
        <v>53</v>
      </c>
      <c r="D418" t="s">
        <v>11</v>
      </c>
      <c r="E418" t="s">
        <v>78</v>
      </c>
      <c r="F418" t="s">
        <v>33</v>
      </c>
      <c r="G418" s="13">
        <v>50</v>
      </c>
      <c r="J418" s="43"/>
      <c r="M418" s="13"/>
    </row>
    <row r="419" spans="2:13" x14ac:dyDescent="0.35">
      <c r="B419" s="43">
        <v>45219.135208333333</v>
      </c>
      <c r="C419" t="s">
        <v>53</v>
      </c>
      <c r="D419" t="s">
        <v>11</v>
      </c>
      <c r="E419" t="s">
        <v>78</v>
      </c>
      <c r="F419" t="s">
        <v>33</v>
      </c>
      <c r="G419" s="13">
        <v>50</v>
      </c>
    </row>
    <row r="420" spans="2:13" x14ac:dyDescent="0.35">
      <c r="B420" s="43">
        <v>45226.154444444444</v>
      </c>
      <c r="C420" t="s">
        <v>53</v>
      </c>
      <c r="D420" t="s">
        <v>11</v>
      </c>
      <c r="E420" t="s">
        <v>78</v>
      </c>
      <c r="F420" t="s">
        <v>33</v>
      </c>
      <c r="G420" s="13">
        <v>50</v>
      </c>
    </row>
    <row r="421" spans="2:13" x14ac:dyDescent="0.35">
      <c r="B421" s="43">
        <v>45233.173680555556</v>
      </c>
      <c r="C421" t="s">
        <v>53</v>
      </c>
      <c r="D421" t="s">
        <v>11</v>
      </c>
      <c r="E421" t="s">
        <v>78</v>
      </c>
      <c r="F421" t="s">
        <v>33</v>
      </c>
      <c r="G421" s="13">
        <v>50</v>
      </c>
    </row>
    <row r="422" spans="2:13" x14ac:dyDescent="0.35">
      <c r="B422" s="43">
        <v>45240.192916666667</v>
      </c>
      <c r="C422" t="s">
        <v>53</v>
      </c>
      <c r="D422" t="s">
        <v>11</v>
      </c>
      <c r="E422" t="s">
        <v>78</v>
      </c>
      <c r="F422" t="s">
        <v>33</v>
      </c>
      <c r="G422" s="13">
        <v>50</v>
      </c>
    </row>
    <row r="423" spans="2:13" x14ac:dyDescent="0.35">
      <c r="B423" s="43">
        <v>45247.212152777778</v>
      </c>
      <c r="C423" t="s">
        <v>53</v>
      </c>
      <c r="D423" t="s">
        <v>11</v>
      </c>
      <c r="E423" t="s">
        <v>78</v>
      </c>
      <c r="F423" t="s">
        <v>33</v>
      </c>
      <c r="G423" s="13">
        <v>50</v>
      </c>
    </row>
    <row r="424" spans="2:13" x14ac:dyDescent="0.35">
      <c r="B424" s="43">
        <v>45254.231388888889</v>
      </c>
      <c r="C424" t="s">
        <v>53</v>
      </c>
      <c r="D424" t="s">
        <v>11</v>
      </c>
      <c r="E424" t="s">
        <v>78</v>
      </c>
      <c r="F424" t="s">
        <v>33</v>
      </c>
      <c r="G424" s="13">
        <v>50</v>
      </c>
    </row>
    <row r="425" spans="2:13" x14ac:dyDescent="0.35">
      <c r="B425" s="43">
        <v>45261.250625000001</v>
      </c>
      <c r="C425" t="s">
        <v>53</v>
      </c>
      <c r="D425" t="s">
        <v>11</v>
      </c>
      <c r="E425" t="s">
        <v>78</v>
      </c>
      <c r="F425" t="s">
        <v>33</v>
      </c>
      <c r="G425" s="13">
        <v>50</v>
      </c>
    </row>
    <row r="426" spans="2:13" x14ac:dyDescent="0.35">
      <c r="B426" s="43">
        <v>45268.269861111112</v>
      </c>
      <c r="C426" t="s">
        <v>53</v>
      </c>
      <c r="D426" t="s">
        <v>11</v>
      </c>
      <c r="E426" t="s">
        <v>78</v>
      </c>
      <c r="F426" t="s">
        <v>33</v>
      </c>
      <c r="G426" s="13">
        <v>50</v>
      </c>
    </row>
    <row r="427" spans="2:13" x14ac:dyDescent="0.35">
      <c r="B427" s="43">
        <v>45275.289097222223</v>
      </c>
      <c r="C427" t="s">
        <v>53</v>
      </c>
      <c r="D427" t="s">
        <v>11</v>
      </c>
      <c r="E427" t="s">
        <v>78</v>
      </c>
      <c r="F427" t="s">
        <v>33</v>
      </c>
      <c r="G427" s="13">
        <v>50</v>
      </c>
    </row>
    <row r="428" spans="2:13" x14ac:dyDescent="0.35">
      <c r="B428" s="43">
        <v>45282.308333333334</v>
      </c>
      <c r="C428" t="s">
        <v>53</v>
      </c>
      <c r="D428" t="s">
        <v>11</v>
      </c>
      <c r="E428" t="s">
        <v>78</v>
      </c>
      <c r="F428" t="s">
        <v>33</v>
      </c>
      <c r="G428" s="13">
        <v>50</v>
      </c>
    </row>
    <row r="429" spans="2:13" x14ac:dyDescent="0.35">
      <c r="B429" s="43">
        <v>45289.327569444446</v>
      </c>
      <c r="C429" t="s">
        <v>53</v>
      </c>
      <c r="D429" t="s">
        <v>11</v>
      </c>
      <c r="E429" t="s">
        <v>78</v>
      </c>
      <c r="F429" t="s">
        <v>33</v>
      </c>
      <c r="G429" s="13">
        <v>50</v>
      </c>
    </row>
    <row r="430" spans="2:13" x14ac:dyDescent="0.35">
      <c r="B430" s="43">
        <v>45296.346805555557</v>
      </c>
      <c r="C430" t="s">
        <v>53</v>
      </c>
      <c r="D430" t="s">
        <v>11</v>
      </c>
      <c r="E430" t="s">
        <v>78</v>
      </c>
      <c r="F430" t="s">
        <v>33</v>
      </c>
      <c r="G430" s="13">
        <v>50</v>
      </c>
    </row>
    <row r="431" spans="2:13" x14ac:dyDescent="0.35">
      <c r="B431" s="43">
        <v>45303.366041666668</v>
      </c>
      <c r="C431" t="s">
        <v>53</v>
      </c>
      <c r="D431" t="s">
        <v>11</v>
      </c>
      <c r="E431" t="s">
        <v>78</v>
      </c>
      <c r="F431" t="s">
        <v>33</v>
      </c>
      <c r="G431" s="13">
        <v>50</v>
      </c>
    </row>
    <row r="432" spans="2:13" x14ac:dyDescent="0.35">
      <c r="B432" s="43">
        <v>45310.385277777779</v>
      </c>
      <c r="C432" t="s">
        <v>53</v>
      </c>
      <c r="D432" t="s">
        <v>11</v>
      </c>
      <c r="E432" t="s">
        <v>78</v>
      </c>
      <c r="F432" t="s">
        <v>33</v>
      </c>
      <c r="G432" s="13">
        <v>50</v>
      </c>
    </row>
    <row r="433" spans="2:7" x14ac:dyDescent="0.35">
      <c r="B433" s="43">
        <v>45317.404513888891</v>
      </c>
      <c r="C433" t="s">
        <v>53</v>
      </c>
      <c r="D433" t="s">
        <v>11</v>
      </c>
      <c r="E433" t="s">
        <v>78</v>
      </c>
      <c r="F433" t="s">
        <v>33</v>
      </c>
      <c r="G433" s="13">
        <v>50</v>
      </c>
    </row>
    <row r="434" spans="2:7" x14ac:dyDescent="0.35">
      <c r="B434" s="43">
        <v>45324.423750000002</v>
      </c>
      <c r="C434" t="s">
        <v>53</v>
      </c>
      <c r="D434" t="s">
        <v>11</v>
      </c>
      <c r="E434" t="s">
        <v>78</v>
      </c>
      <c r="F434" t="s">
        <v>33</v>
      </c>
      <c r="G434" s="13">
        <v>50</v>
      </c>
    </row>
    <row r="435" spans="2:7" x14ac:dyDescent="0.35">
      <c r="B435" s="43">
        <v>45331.442986111113</v>
      </c>
      <c r="C435" t="s">
        <v>53</v>
      </c>
      <c r="D435" t="s">
        <v>11</v>
      </c>
      <c r="E435" t="s">
        <v>78</v>
      </c>
      <c r="F435" t="s">
        <v>33</v>
      </c>
      <c r="G435" s="13">
        <v>50</v>
      </c>
    </row>
    <row r="436" spans="2:7" x14ac:dyDescent="0.35">
      <c r="B436" s="43">
        <v>45338.462222222224</v>
      </c>
      <c r="C436" t="s">
        <v>53</v>
      </c>
      <c r="D436" t="s">
        <v>11</v>
      </c>
      <c r="E436" t="s">
        <v>78</v>
      </c>
      <c r="F436" t="s">
        <v>33</v>
      </c>
      <c r="G436" s="13">
        <v>50</v>
      </c>
    </row>
    <row r="437" spans="2:7" x14ac:dyDescent="0.35">
      <c r="B437" s="43">
        <v>45345.481458333335</v>
      </c>
      <c r="C437" t="s">
        <v>53</v>
      </c>
      <c r="D437" t="s">
        <v>11</v>
      </c>
      <c r="E437" t="s">
        <v>78</v>
      </c>
      <c r="F437" t="s">
        <v>33</v>
      </c>
      <c r="G437" s="13">
        <v>50</v>
      </c>
    </row>
    <row r="438" spans="2:7" x14ac:dyDescent="0.35">
      <c r="B438" s="43">
        <v>45352.500694444447</v>
      </c>
      <c r="C438" t="s">
        <v>53</v>
      </c>
      <c r="D438" t="s">
        <v>11</v>
      </c>
      <c r="E438" t="s">
        <v>78</v>
      </c>
      <c r="F438" t="s">
        <v>33</v>
      </c>
      <c r="G438" s="13">
        <v>50</v>
      </c>
    </row>
    <row r="439" spans="2:7" x14ac:dyDescent="0.35">
      <c r="B439" s="43">
        <v>45359.519930555558</v>
      </c>
      <c r="C439" t="s">
        <v>53</v>
      </c>
      <c r="D439" t="s">
        <v>11</v>
      </c>
      <c r="E439" t="s">
        <v>78</v>
      </c>
      <c r="F439" t="s">
        <v>33</v>
      </c>
      <c r="G439" s="13">
        <v>50</v>
      </c>
    </row>
    <row r="440" spans="2:7" x14ac:dyDescent="0.35">
      <c r="B440" s="43">
        <v>45366.539166666669</v>
      </c>
      <c r="C440" t="s">
        <v>53</v>
      </c>
      <c r="D440" t="s">
        <v>11</v>
      </c>
      <c r="E440" t="s">
        <v>78</v>
      </c>
      <c r="F440" t="s">
        <v>33</v>
      </c>
      <c r="G440" s="13">
        <v>50</v>
      </c>
    </row>
    <row r="441" spans="2:7" x14ac:dyDescent="0.35">
      <c r="B441" s="43">
        <v>45373.55840277778</v>
      </c>
      <c r="C441" t="s">
        <v>53</v>
      </c>
      <c r="D441" t="s">
        <v>11</v>
      </c>
      <c r="E441" t="s">
        <v>78</v>
      </c>
      <c r="F441" t="s">
        <v>33</v>
      </c>
      <c r="G441" s="13">
        <v>50</v>
      </c>
    </row>
    <row r="442" spans="2:7" x14ac:dyDescent="0.35">
      <c r="B442" s="43">
        <v>45380.577638888892</v>
      </c>
      <c r="C442" t="s">
        <v>53</v>
      </c>
      <c r="D442" t="s">
        <v>11</v>
      </c>
      <c r="E442" t="s">
        <v>78</v>
      </c>
      <c r="F442" t="s">
        <v>33</v>
      </c>
      <c r="G442" s="13">
        <v>50</v>
      </c>
    </row>
    <row r="443" spans="2:7" x14ac:dyDescent="0.35">
      <c r="B443" s="43">
        <v>45387.596875000003</v>
      </c>
      <c r="C443" t="s">
        <v>53</v>
      </c>
      <c r="D443" t="s">
        <v>11</v>
      </c>
      <c r="E443" t="s">
        <v>78</v>
      </c>
      <c r="F443" t="s">
        <v>33</v>
      </c>
      <c r="G443" s="13">
        <v>50</v>
      </c>
    </row>
    <row r="444" spans="2:7" x14ac:dyDescent="0.35">
      <c r="B444" s="43">
        <v>45394.616111111114</v>
      </c>
      <c r="C444" t="s">
        <v>53</v>
      </c>
      <c r="D444" t="s">
        <v>11</v>
      </c>
      <c r="E444" t="s">
        <v>78</v>
      </c>
      <c r="F444" t="s">
        <v>33</v>
      </c>
      <c r="G444" s="13">
        <v>50</v>
      </c>
    </row>
    <row r="445" spans="2:7" x14ac:dyDescent="0.35">
      <c r="B445" s="43">
        <v>45401.635347222225</v>
      </c>
      <c r="C445" t="s">
        <v>53</v>
      </c>
      <c r="D445" t="s">
        <v>11</v>
      </c>
      <c r="E445" t="s">
        <v>78</v>
      </c>
      <c r="F445" t="s">
        <v>33</v>
      </c>
      <c r="G445" s="13">
        <v>50</v>
      </c>
    </row>
    <row r="446" spans="2:7" x14ac:dyDescent="0.35">
      <c r="B446" s="43">
        <v>45408.654583333337</v>
      </c>
      <c r="C446" t="s">
        <v>53</v>
      </c>
      <c r="D446" t="s">
        <v>11</v>
      </c>
      <c r="E446" t="s">
        <v>78</v>
      </c>
      <c r="F446" t="s">
        <v>33</v>
      </c>
      <c r="G446" s="13">
        <v>50</v>
      </c>
    </row>
    <row r="447" spans="2:7" x14ac:dyDescent="0.35">
      <c r="B447" s="43">
        <v>45415.673819444448</v>
      </c>
      <c r="C447" t="s">
        <v>53</v>
      </c>
      <c r="D447" t="s">
        <v>11</v>
      </c>
      <c r="E447" t="s">
        <v>78</v>
      </c>
      <c r="F447" t="s">
        <v>33</v>
      </c>
      <c r="G447" s="13">
        <v>50</v>
      </c>
    </row>
    <row r="448" spans="2:7" x14ac:dyDescent="0.35">
      <c r="B448" s="43">
        <v>45422.693055555559</v>
      </c>
      <c r="C448" t="s">
        <v>53</v>
      </c>
      <c r="D448" t="s">
        <v>11</v>
      </c>
      <c r="E448" t="s">
        <v>78</v>
      </c>
      <c r="F448" t="s">
        <v>33</v>
      </c>
      <c r="G448" s="13">
        <v>50</v>
      </c>
    </row>
    <row r="449" spans="2:7" x14ac:dyDescent="0.35">
      <c r="B449" s="43">
        <v>45429.712291666663</v>
      </c>
      <c r="C449" t="s">
        <v>53</v>
      </c>
      <c r="D449" t="s">
        <v>11</v>
      </c>
      <c r="E449" t="s">
        <v>78</v>
      </c>
      <c r="F449" t="s">
        <v>33</v>
      </c>
      <c r="G449" s="13">
        <v>50</v>
      </c>
    </row>
    <row r="450" spans="2:7" x14ac:dyDescent="0.35">
      <c r="B450" s="43">
        <v>45436.731527777774</v>
      </c>
      <c r="C450" t="s">
        <v>53</v>
      </c>
      <c r="D450" t="s">
        <v>11</v>
      </c>
      <c r="E450" t="s">
        <v>78</v>
      </c>
      <c r="F450" t="s">
        <v>33</v>
      </c>
      <c r="G450" s="13">
        <v>50</v>
      </c>
    </row>
    <row r="451" spans="2:7" x14ac:dyDescent="0.35">
      <c r="B451" s="43">
        <v>45443.750763888886</v>
      </c>
      <c r="C451" t="s">
        <v>53</v>
      </c>
      <c r="D451" t="s">
        <v>11</v>
      </c>
      <c r="E451" t="s">
        <v>78</v>
      </c>
      <c r="F451" t="s">
        <v>33</v>
      </c>
      <c r="G451" s="13">
        <v>50</v>
      </c>
    </row>
    <row r="452" spans="2:7" x14ac:dyDescent="0.35">
      <c r="B452" s="43">
        <v>45450.77</v>
      </c>
      <c r="C452" t="s">
        <v>53</v>
      </c>
      <c r="D452" t="s">
        <v>11</v>
      </c>
      <c r="E452" t="s">
        <v>78</v>
      </c>
      <c r="F452" t="s">
        <v>33</v>
      </c>
      <c r="G452" s="13">
        <v>50</v>
      </c>
    </row>
    <row r="453" spans="2:7" x14ac:dyDescent="0.35">
      <c r="B453" s="43">
        <v>45457.789236111108</v>
      </c>
      <c r="C453" t="s">
        <v>53</v>
      </c>
      <c r="D453" t="s">
        <v>11</v>
      </c>
      <c r="E453" t="s">
        <v>78</v>
      </c>
      <c r="F453" t="s">
        <v>33</v>
      </c>
      <c r="G453" s="13">
        <v>50</v>
      </c>
    </row>
    <row r="454" spans="2:7" x14ac:dyDescent="0.35">
      <c r="B454" s="43">
        <v>45464.808472222219</v>
      </c>
      <c r="C454" t="s">
        <v>53</v>
      </c>
      <c r="D454" t="s">
        <v>11</v>
      </c>
      <c r="E454" t="s">
        <v>78</v>
      </c>
      <c r="F454" t="s">
        <v>33</v>
      </c>
      <c r="G454" s="13">
        <v>50</v>
      </c>
    </row>
    <row r="455" spans="2:7" x14ac:dyDescent="0.35">
      <c r="B455" s="43">
        <v>45471.827708333331</v>
      </c>
      <c r="C455" t="s">
        <v>53</v>
      </c>
      <c r="D455" t="s">
        <v>11</v>
      </c>
      <c r="E455" t="s">
        <v>78</v>
      </c>
      <c r="F455" t="s">
        <v>33</v>
      </c>
      <c r="G455" s="13">
        <v>50</v>
      </c>
    </row>
    <row r="456" spans="2:7" x14ac:dyDescent="0.35">
      <c r="B456" s="43">
        <v>45478.846944444442</v>
      </c>
      <c r="C456" t="s">
        <v>53</v>
      </c>
      <c r="D456" t="s">
        <v>11</v>
      </c>
      <c r="E456" t="s">
        <v>78</v>
      </c>
      <c r="F456" t="s">
        <v>33</v>
      </c>
      <c r="G456" s="13">
        <v>50</v>
      </c>
    </row>
    <row r="457" spans="2:7" x14ac:dyDescent="0.35">
      <c r="B457" s="43">
        <v>45485.866180555553</v>
      </c>
      <c r="C457" t="s">
        <v>53</v>
      </c>
      <c r="D457" t="s">
        <v>11</v>
      </c>
      <c r="E457" t="s">
        <v>78</v>
      </c>
      <c r="F457" t="s">
        <v>33</v>
      </c>
      <c r="G457" s="13">
        <v>50</v>
      </c>
    </row>
    <row r="458" spans="2:7" x14ac:dyDescent="0.35">
      <c r="B458" s="43">
        <v>45492.885416666664</v>
      </c>
      <c r="C458" t="s">
        <v>53</v>
      </c>
      <c r="D458" t="s">
        <v>11</v>
      </c>
      <c r="E458" t="s">
        <v>78</v>
      </c>
      <c r="F458" t="s">
        <v>33</v>
      </c>
      <c r="G458" s="13">
        <v>50</v>
      </c>
    </row>
    <row r="459" spans="2:7" x14ac:dyDescent="0.35">
      <c r="B459" s="43">
        <v>45499.904652777775</v>
      </c>
      <c r="C459" t="s">
        <v>53</v>
      </c>
      <c r="D459" t="s">
        <v>11</v>
      </c>
      <c r="E459" t="s">
        <v>78</v>
      </c>
      <c r="F459" t="s">
        <v>33</v>
      </c>
      <c r="G459" s="13">
        <v>50</v>
      </c>
    </row>
    <row r="460" spans="2:7" x14ac:dyDescent="0.35">
      <c r="B460" s="43">
        <v>45506.923888888887</v>
      </c>
      <c r="C460" t="s">
        <v>53</v>
      </c>
      <c r="D460" t="s">
        <v>11</v>
      </c>
      <c r="E460" t="s">
        <v>78</v>
      </c>
      <c r="F460" t="s">
        <v>33</v>
      </c>
      <c r="G460" s="13">
        <v>50</v>
      </c>
    </row>
    <row r="461" spans="2:7" x14ac:dyDescent="0.35">
      <c r="B461" s="43">
        <v>45513.943124999998</v>
      </c>
      <c r="C461" t="s">
        <v>53</v>
      </c>
      <c r="D461" t="s">
        <v>11</v>
      </c>
      <c r="E461" t="s">
        <v>78</v>
      </c>
      <c r="F461" t="s">
        <v>33</v>
      </c>
      <c r="G461" s="13">
        <v>50</v>
      </c>
    </row>
    <row r="462" spans="2:7" x14ac:dyDescent="0.35">
      <c r="B462" s="43">
        <v>45520.962361111109</v>
      </c>
      <c r="C462" t="s">
        <v>53</v>
      </c>
      <c r="D462" t="s">
        <v>11</v>
      </c>
      <c r="E462" t="s">
        <v>78</v>
      </c>
      <c r="F462" t="s">
        <v>33</v>
      </c>
      <c r="G462" s="13">
        <v>50</v>
      </c>
    </row>
    <row r="463" spans="2:7" x14ac:dyDescent="0.35">
      <c r="B463" s="43">
        <v>45527.98159722222</v>
      </c>
      <c r="C463" t="s">
        <v>53</v>
      </c>
      <c r="D463" t="s">
        <v>11</v>
      </c>
      <c r="E463" t="s">
        <v>78</v>
      </c>
      <c r="F463" t="s">
        <v>33</v>
      </c>
      <c r="G463" s="13">
        <v>50</v>
      </c>
    </row>
    <row r="464" spans="2:7" x14ac:dyDescent="0.35">
      <c r="B464" s="43">
        <v>45535.000833333332</v>
      </c>
      <c r="C464" t="s">
        <v>53</v>
      </c>
      <c r="D464" t="s">
        <v>11</v>
      </c>
      <c r="E464" t="s">
        <v>78</v>
      </c>
      <c r="F464" t="s">
        <v>33</v>
      </c>
      <c r="G464" s="13">
        <v>50</v>
      </c>
    </row>
    <row r="465" spans="2:7" x14ac:dyDescent="0.35">
      <c r="B465" s="43">
        <v>45542.020069444443</v>
      </c>
      <c r="C465" t="s">
        <v>53</v>
      </c>
      <c r="D465" t="s">
        <v>11</v>
      </c>
      <c r="E465" t="s">
        <v>78</v>
      </c>
      <c r="F465" t="s">
        <v>33</v>
      </c>
      <c r="G465" s="13">
        <v>50</v>
      </c>
    </row>
    <row r="466" spans="2:7" x14ac:dyDescent="0.35">
      <c r="B466" s="43">
        <v>45549.039305555554</v>
      </c>
      <c r="C466" t="s">
        <v>53</v>
      </c>
      <c r="D466" t="s">
        <v>11</v>
      </c>
      <c r="E466" t="s">
        <v>78</v>
      </c>
      <c r="F466" t="s">
        <v>33</v>
      </c>
      <c r="G466" s="13">
        <v>50</v>
      </c>
    </row>
    <row r="467" spans="2:7" x14ac:dyDescent="0.35">
      <c r="B467" s="43">
        <v>45556.058541666665</v>
      </c>
      <c r="C467" t="s">
        <v>53</v>
      </c>
      <c r="D467" t="s">
        <v>11</v>
      </c>
      <c r="E467" t="s">
        <v>78</v>
      </c>
      <c r="F467" t="s">
        <v>33</v>
      </c>
      <c r="G467" s="13">
        <v>50</v>
      </c>
    </row>
    <row r="468" spans="2:7" x14ac:dyDescent="0.35">
      <c r="B468" s="43">
        <v>45563.077777777777</v>
      </c>
      <c r="C468" t="s">
        <v>53</v>
      </c>
      <c r="D468" t="s">
        <v>11</v>
      </c>
      <c r="E468" t="s">
        <v>78</v>
      </c>
      <c r="F468" t="s">
        <v>33</v>
      </c>
      <c r="G468" s="13">
        <v>50</v>
      </c>
    </row>
    <row r="469" spans="2:7" x14ac:dyDescent="0.35">
      <c r="B469" s="43">
        <v>45570.097013888888</v>
      </c>
      <c r="C469" t="s">
        <v>53</v>
      </c>
      <c r="D469" t="s">
        <v>11</v>
      </c>
      <c r="E469" t="s">
        <v>78</v>
      </c>
      <c r="F469" t="s">
        <v>33</v>
      </c>
      <c r="G469" s="13">
        <v>50</v>
      </c>
    </row>
    <row r="470" spans="2:7" x14ac:dyDescent="0.35">
      <c r="B470" s="43">
        <v>45577.116249999999</v>
      </c>
      <c r="C470" t="s">
        <v>53</v>
      </c>
      <c r="D470" t="s">
        <v>11</v>
      </c>
      <c r="E470" t="s">
        <v>78</v>
      </c>
      <c r="F470" t="s">
        <v>33</v>
      </c>
      <c r="G470" s="13">
        <v>50</v>
      </c>
    </row>
    <row r="471" spans="2:7" x14ac:dyDescent="0.35">
      <c r="B471" s="43">
        <v>45584.13548611111</v>
      </c>
      <c r="C471" t="s">
        <v>53</v>
      </c>
      <c r="D471" t="s">
        <v>11</v>
      </c>
      <c r="E471" t="s">
        <v>78</v>
      </c>
      <c r="F471" t="s">
        <v>33</v>
      </c>
      <c r="G471" s="13">
        <v>50</v>
      </c>
    </row>
    <row r="472" spans="2:7" x14ac:dyDescent="0.35">
      <c r="B472" s="1">
        <v>45591.154722222222</v>
      </c>
      <c r="C472" t="s">
        <v>53</v>
      </c>
      <c r="D472" t="s">
        <v>11</v>
      </c>
      <c r="E472" t="s">
        <v>78</v>
      </c>
      <c r="F472" t="s">
        <v>33</v>
      </c>
      <c r="G472" s="13">
        <v>50</v>
      </c>
    </row>
    <row r="473" spans="2:7" x14ac:dyDescent="0.35">
      <c r="B473" s="1">
        <v>45598.173958333333</v>
      </c>
      <c r="C473" t="s">
        <v>53</v>
      </c>
      <c r="D473" t="s">
        <v>11</v>
      </c>
      <c r="E473" t="s">
        <v>78</v>
      </c>
      <c r="F473" t="s">
        <v>33</v>
      </c>
      <c r="G473" s="13">
        <v>50</v>
      </c>
    </row>
    <row r="474" spans="2:7" x14ac:dyDescent="0.35">
      <c r="B474" s="43">
        <v>45605.193194444444</v>
      </c>
      <c r="C474" t="s">
        <v>53</v>
      </c>
      <c r="D474" t="s">
        <v>11</v>
      </c>
      <c r="E474" t="s">
        <v>78</v>
      </c>
      <c r="F474" t="s">
        <v>33</v>
      </c>
      <c r="G474" s="13">
        <v>50</v>
      </c>
    </row>
    <row r="475" spans="2:7" x14ac:dyDescent="0.35">
      <c r="B475" s="43">
        <v>45612.212430555555</v>
      </c>
      <c r="C475" t="s">
        <v>53</v>
      </c>
      <c r="D475" t="s">
        <v>11</v>
      </c>
      <c r="E475" t="s">
        <v>78</v>
      </c>
      <c r="F475" t="s">
        <v>33</v>
      </c>
      <c r="G475" s="13">
        <v>50</v>
      </c>
    </row>
    <row r="476" spans="2:7" x14ac:dyDescent="0.35">
      <c r="B476" s="43">
        <v>45619.231666666667</v>
      </c>
      <c r="C476" t="s">
        <v>53</v>
      </c>
      <c r="D476" t="s">
        <v>11</v>
      </c>
      <c r="E476" t="s">
        <v>78</v>
      </c>
      <c r="F476" t="s">
        <v>33</v>
      </c>
      <c r="G476" s="13">
        <v>50</v>
      </c>
    </row>
    <row r="477" spans="2:7" x14ac:dyDescent="0.35">
      <c r="B477" s="43">
        <v>45626.250902777778</v>
      </c>
      <c r="C477" t="s">
        <v>53</v>
      </c>
      <c r="D477" t="s">
        <v>11</v>
      </c>
      <c r="E477" t="s">
        <v>78</v>
      </c>
      <c r="F477" t="s">
        <v>33</v>
      </c>
      <c r="G477" s="13">
        <v>50</v>
      </c>
    </row>
    <row r="478" spans="2:7" x14ac:dyDescent="0.35">
      <c r="B478" s="43">
        <v>45633.270138888889</v>
      </c>
      <c r="C478" t="s">
        <v>53</v>
      </c>
      <c r="D478" t="s">
        <v>11</v>
      </c>
      <c r="E478" t="s">
        <v>78</v>
      </c>
      <c r="F478" t="s">
        <v>33</v>
      </c>
      <c r="G478" s="13">
        <v>50</v>
      </c>
    </row>
    <row r="479" spans="2:7" x14ac:dyDescent="0.35">
      <c r="B479" s="43">
        <v>45640.289375</v>
      </c>
      <c r="C479" t="s">
        <v>53</v>
      </c>
      <c r="D479" t="s">
        <v>11</v>
      </c>
      <c r="E479" t="s">
        <v>78</v>
      </c>
      <c r="F479" t="s">
        <v>33</v>
      </c>
      <c r="G479" s="13">
        <v>50</v>
      </c>
    </row>
    <row r="480" spans="2:7" x14ac:dyDescent="0.35">
      <c r="B480" s="43">
        <v>45647.308611111112</v>
      </c>
      <c r="C480" t="s">
        <v>53</v>
      </c>
      <c r="D480" t="s">
        <v>11</v>
      </c>
      <c r="E480" t="s">
        <v>78</v>
      </c>
      <c r="F480" t="s">
        <v>33</v>
      </c>
      <c r="G480" s="13">
        <v>50</v>
      </c>
    </row>
    <row r="481" spans="2:7" x14ac:dyDescent="0.35">
      <c r="B481" s="43">
        <v>45654.327847222223</v>
      </c>
      <c r="C481" t="s">
        <v>53</v>
      </c>
      <c r="D481" t="s">
        <v>11</v>
      </c>
      <c r="E481" t="s">
        <v>78</v>
      </c>
      <c r="F481" t="s">
        <v>33</v>
      </c>
      <c r="G481" s="13">
        <v>50</v>
      </c>
    </row>
    <row r="482" spans="2:7" x14ac:dyDescent="0.35">
      <c r="B482" s="43">
        <v>45661.347083333334</v>
      </c>
      <c r="C482" t="s">
        <v>53</v>
      </c>
      <c r="D482" t="s">
        <v>11</v>
      </c>
      <c r="E482" t="s">
        <v>78</v>
      </c>
      <c r="F482" t="s">
        <v>33</v>
      </c>
      <c r="G482" s="13">
        <v>50</v>
      </c>
    </row>
    <row r="483" spans="2:7" x14ac:dyDescent="0.35">
      <c r="B483" s="43">
        <v>45668.366319444445</v>
      </c>
      <c r="C483" t="s">
        <v>53</v>
      </c>
      <c r="D483" t="s">
        <v>11</v>
      </c>
      <c r="E483" t="s">
        <v>78</v>
      </c>
      <c r="F483" t="s">
        <v>33</v>
      </c>
      <c r="G483" s="13">
        <v>50</v>
      </c>
    </row>
    <row r="484" spans="2:7" x14ac:dyDescent="0.35">
      <c r="B484" s="43">
        <v>45675.385555555556</v>
      </c>
      <c r="C484" t="s">
        <v>53</v>
      </c>
      <c r="D484" t="s">
        <v>11</v>
      </c>
      <c r="E484" t="s">
        <v>78</v>
      </c>
      <c r="F484" t="s">
        <v>33</v>
      </c>
      <c r="G484" s="13">
        <v>50</v>
      </c>
    </row>
    <row r="485" spans="2:7" x14ac:dyDescent="0.35">
      <c r="B485" s="43">
        <v>45682.404791666668</v>
      </c>
      <c r="C485" t="s">
        <v>53</v>
      </c>
      <c r="D485" t="s">
        <v>11</v>
      </c>
      <c r="E485" t="s">
        <v>78</v>
      </c>
      <c r="F485" t="s">
        <v>33</v>
      </c>
      <c r="G485" s="13">
        <v>50</v>
      </c>
    </row>
    <row r="486" spans="2:7" x14ac:dyDescent="0.35">
      <c r="B486" s="43">
        <v>45689.424027777779</v>
      </c>
      <c r="C486" t="s">
        <v>53</v>
      </c>
      <c r="D486" t="s">
        <v>11</v>
      </c>
      <c r="E486" t="s">
        <v>78</v>
      </c>
      <c r="F486" t="s">
        <v>33</v>
      </c>
      <c r="G486" s="13">
        <v>50</v>
      </c>
    </row>
    <row r="487" spans="2:7" x14ac:dyDescent="0.35">
      <c r="B487" s="43">
        <v>45696.44326388889</v>
      </c>
      <c r="C487" t="s">
        <v>53</v>
      </c>
      <c r="D487" t="s">
        <v>11</v>
      </c>
      <c r="E487" t="s">
        <v>78</v>
      </c>
      <c r="F487" t="s">
        <v>33</v>
      </c>
      <c r="G487" s="13">
        <v>50</v>
      </c>
    </row>
    <row r="488" spans="2:7" x14ac:dyDescent="0.35">
      <c r="B488" s="43">
        <v>45703.462500000001</v>
      </c>
      <c r="C488" t="s">
        <v>53</v>
      </c>
      <c r="D488" t="s">
        <v>11</v>
      </c>
      <c r="E488" t="s">
        <v>78</v>
      </c>
      <c r="F488" t="s">
        <v>33</v>
      </c>
      <c r="G488" s="13">
        <v>50</v>
      </c>
    </row>
    <row r="489" spans="2:7" x14ac:dyDescent="0.35">
      <c r="B489" s="43">
        <v>45710.481736111113</v>
      </c>
      <c r="C489" t="s">
        <v>53</v>
      </c>
      <c r="D489" t="s">
        <v>11</v>
      </c>
      <c r="E489" t="s">
        <v>78</v>
      </c>
      <c r="F489" t="s">
        <v>33</v>
      </c>
      <c r="G489" s="13">
        <v>50</v>
      </c>
    </row>
    <row r="490" spans="2:7" x14ac:dyDescent="0.35">
      <c r="B490" s="43">
        <v>45717.500972222224</v>
      </c>
      <c r="C490" t="s">
        <v>53</v>
      </c>
      <c r="D490" t="s">
        <v>11</v>
      </c>
      <c r="E490" t="s">
        <v>78</v>
      </c>
      <c r="F490" t="s">
        <v>33</v>
      </c>
      <c r="G490" s="13">
        <v>50</v>
      </c>
    </row>
    <row r="491" spans="2:7" x14ac:dyDescent="0.35">
      <c r="B491" s="43">
        <v>45724.520208333335</v>
      </c>
      <c r="C491" t="s">
        <v>53</v>
      </c>
      <c r="D491" t="s">
        <v>11</v>
      </c>
      <c r="E491" t="s">
        <v>78</v>
      </c>
      <c r="F491" t="s">
        <v>33</v>
      </c>
      <c r="G491" s="13">
        <v>50</v>
      </c>
    </row>
    <row r="492" spans="2:7" x14ac:dyDescent="0.35">
      <c r="B492" s="43">
        <v>45731.539444444446</v>
      </c>
      <c r="C492" t="s">
        <v>53</v>
      </c>
      <c r="D492" t="s">
        <v>11</v>
      </c>
      <c r="E492" t="s">
        <v>78</v>
      </c>
      <c r="F492" t="s">
        <v>33</v>
      </c>
      <c r="G492" s="13">
        <v>50</v>
      </c>
    </row>
    <row r="493" spans="2:7" x14ac:dyDescent="0.35">
      <c r="B493" s="43">
        <v>45738.558680555558</v>
      </c>
      <c r="C493" t="s">
        <v>53</v>
      </c>
      <c r="D493" t="s">
        <v>11</v>
      </c>
      <c r="E493" t="s">
        <v>78</v>
      </c>
      <c r="F493" t="s">
        <v>33</v>
      </c>
      <c r="G493" s="13">
        <v>50</v>
      </c>
    </row>
    <row r="494" spans="2:7" x14ac:dyDescent="0.35">
      <c r="B494" s="43">
        <v>45745.577916666669</v>
      </c>
      <c r="C494" t="s">
        <v>53</v>
      </c>
      <c r="D494" t="s">
        <v>11</v>
      </c>
      <c r="E494" t="s">
        <v>78</v>
      </c>
      <c r="F494" t="s">
        <v>33</v>
      </c>
      <c r="G494" s="13">
        <v>50</v>
      </c>
    </row>
    <row r="495" spans="2:7" x14ac:dyDescent="0.35">
      <c r="B495" s="43">
        <v>45752.59715277778</v>
      </c>
      <c r="C495" t="s">
        <v>53</v>
      </c>
      <c r="D495" t="s">
        <v>11</v>
      </c>
      <c r="E495" t="s">
        <v>78</v>
      </c>
      <c r="F495" t="s">
        <v>33</v>
      </c>
      <c r="G495" s="13">
        <v>50</v>
      </c>
    </row>
    <row r="496" spans="2:7" x14ac:dyDescent="0.35">
      <c r="B496" s="43">
        <v>45759.616388888891</v>
      </c>
      <c r="C496" t="s">
        <v>53</v>
      </c>
      <c r="D496" t="s">
        <v>11</v>
      </c>
      <c r="E496" t="s">
        <v>78</v>
      </c>
      <c r="F496" t="s">
        <v>33</v>
      </c>
      <c r="G496" s="13">
        <v>50</v>
      </c>
    </row>
    <row r="497" spans="2:7" x14ac:dyDescent="0.35">
      <c r="B497" s="43">
        <v>45766.635625000003</v>
      </c>
      <c r="C497" t="s">
        <v>53</v>
      </c>
      <c r="D497" t="s">
        <v>11</v>
      </c>
      <c r="E497" t="s">
        <v>78</v>
      </c>
      <c r="F497" t="s">
        <v>33</v>
      </c>
      <c r="G497" s="13">
        <v>50</v>
      </c>
    </row>
    <row r="498" spans="2:7" x14ac:dyDescent="0.35">
      <c r="B498" s="43">
        <v>45773.654861111114</v>
      </c>
      <c r="C498" t="s">
        <v>53</v>
      </c>
      <c r="D498" t="s">
        <v>11</v>
      </c>
      <c r="E498" t="s">
        <v>78</v>
      </c>
      <c r="F498" t="s">
        <v>33</v>
      </c>
      <c r="G498" s="13">
        <v>50</v>
      </c>
    </row>
    <row r="499" spans="2:7" x14ac:dyDescent="0.35">
      <c r="B499" s="43">
        <v>45780.674097222225</v>
      </c>
      <c r="C499" t="s">
        <v>53</v>
      </c>
      <c r="D499" t="s">
        <v>11</v>
      </c>
      <c r="E499" t="s">
        <v>78</v>
      </c>
      <c r="F499" t="s">
        <v>33</v>
      </c>
      <c r="G499" s="13">
        <v>50</v>
      </c>
    </row>
    <row r="500" spans="2:7" x14ac:dyDescent="0.35">
      <c r="B500" s="43">
        <v>45787.693333333336</v>
      </c>
      <c r="C500" t="s">
        <v>53</v>
      </c>
      <c r="D500" t="s">
        <v>11</v>
      </c>
      <c r="E500" t="s">
        <v>78</v>
      </c>
      <c r="F500" t="s">
        <v>33</v>
      </c>
      <c r="G500" s="13">
        <v>50</v>
      </c>
    </row>
    <row r="501" spans="2:7" x14ac:dyDescent="0.35">
      <c r="B501" s="43">
        <v>45794.712569444448</v>
      </c>
      <c r="C501" t="s">
        <v>53</v>
      </c>
      <c r="D501" t="s">
        <v>11</v>
      </c>
      <c r="E501" t="s">
        <v>78</v>
      </c>
      <c r="F501" t="s">
        <v>33</v>
      </c>
      <c r="G501" s="13">
        <v>50</v>
      </c>
    </row>
    <row r="502" spans="2:7" x14ac:dyDescent="0.35">
      <c r="B502" s="43">
        <v>45801.731805555559</v>
      </c>
      <c r="C502" t="s">
        <v>53</v>
      </c>
      <c r="D502" t="s">
        <v>11</v>
      </c>
      <c r="E502" t="s">
        <v>78</v>
      </c>
      <c r="F502" t="s">
        <v>33</v>
      </c>
      <c r="G502" s="13">
        <v>50</v>
      </c>
    </row>
    <row r="503" spans="2:7" x14ac:dyDescent="0.35">
      <c r="B503" s="43">
        <v>45808.75104166667</v>
      </c>
      <c r="C503" t="s">
        <v>53</v>
      </c>
      <c r="D503" t="s">
        <v>11</v>
      </c>
      <c r="E503" t="s">
        <v>78</v>
      </c>
      <c r="F503" t="s">
        <v>33</v>
      </c>
      <c r="G503" s="13">
        <v>50</v>
      </c>
    </row>
    <row r="504" spans="2:7" x14ac:dyDescent="0.35">
      <c r="B504" s="43">
        <v>45815.770277777781</v>
      </c>
      <c r="C504" t="s">
        <v>53</v>
      </c>
      <c r="D504" t="s">
        <v>11</v>
      </c>
      <c r="E504" t="s">
        <v>78</v>
      </c>
      <c r="F504" t="s">
        <v>33</v>
      </c>
      <c r="G504" s="13">
        <v>50</v>
      </c>
    </row>
    <row r="505" spans="2:7" x14ac:dyDescent="0.35">
      <c r="B505" s="43">
        <v>45822.789513888885</v>
      </c>
      <c r="C505" t="s">
        <v>53</v>
      </c>
      <c r="D505" t="s">
        <v>11</v>
      </c>
      <c r="E505" t="s">
        <v>78</v>
      </c>
      <c r="F505" t="s">
        <v>33</v>
      </c>
      <c r="G505" s="13">
        <v>50</v>
      </c>
    </row>
    <row r="506" spans="2:7" x14ac:dyDescent="0.35">
      <c r="B506" s="43">
        <v>45829.808749999997</v>
      </c>
      <c r="C506" t="s">
        <v>53</v>
      </c>
      <c r="D506" t="s">
        <v>11</v>
      </c>
      <c r="E506" t="s">
        <v>78</v>
      </c>
      <c r="F506" t="s">
        <v>33</v>
      </c>
      <c r="G506" s="13">
        <v>50</v>
      </c>
    </row>
    <row r="507" spans="2:7" x14ac:dyDescent="0.35">
      <c r="B507" s="43">
        <v>45836.827986111108</v>
      </c>
      <c r="C507" t="s">
        <v>53</v>
      </c>
      <c r="D507" t="s">
        <v>11</v>
      </c>
      <c r="E507" t="s">
        <v>78</v>
      </c>
      <c r="F507" t="s">
        <v>33</v>
      </c>
      <c r="G507" s="13">
        <v>50</v>
      </c>
    </row>
    <row r="508" spans="2:7" x14ac:dyDescent="0.35">
      <c r="B508" s="43">
        <v>45843.847222222219</v>
      </c>
      <c r="C508" t="s">
        <v>53</v>
      </c>
      <c r="D508" t="s">
        <v>11</v>
      </c>
      <c r="E508" t="s">
        <v>78</v>
      </c>
      <c r="F508" t="s">
        <v>33</v>
      </c>
      <c r="G508" s="13">
        <v>50</v>
      </c>
    </row>
    <row r="509" spans="2:7" x14ac:dyDescent="0.35">
      <c r="B509" s="43">
        <v>45850.86645833333</v>
      </c>
      <c r="C509" t="s">
        <v>53</v>
      </c>
      <c r="D509" t="s">
        <v>11</v>
      </c>
      <c r="E509" t="s">
        <v>78</v>
      </c>
      <c r="F509" t="s">
        <v>33</v>
      </c>
      <c r="G509" s="13">
        <v>50</v>
      </c>
    </row>
    <row r="510" spans="2:7" x14ac:dyDescent="0.35">
      <c r="B510" s="43">
        <v>45857.885694444441</v>
      </c>
      <c r="C510" t="s">
        <v>53</v>
      </c>
      <c r="D510" t="s">
        <v>11</v>
      </c>
      <c r="E510" t="s">
        <v>78</v>
      </c>
      <c r="F510" t="s">
        <v>33</v>
      </c>
      <c r="G510" s="13">
        <v>50</v>
      </c>
    </row>
    <row r="511" spans="2:7" x14ac:dyDescent="0.35">
      <c r="B511" s="43">
        <v>45864.904930555553</v>
      </c>
      <c r="C511" t="s">
        <v>53</v>
      </c>
      <c r="D511" t="s">
        <v>11</v>
      </c>
      <c r="E511" t="s">
        <v>78</v>
      </c>
      <c r="F511" t="s">
        <v>33</v>
      </c>
      <c r="G511" s="13">
        <v>50</v>
      </c>
    </row>
    <row r="512" spans="2:7" x14ac:dyDescent="0.35">
      <c r="B512" s="43">
        <v>45871.924166666664</v>
      </c>
      <c r="C512" t="s">
        <v>53</v>
      </c>
      <c r="D512" t="s">
        <v>11</v>
      </c>
      <c r="E512" t="s">
        <v>78</v>
      </c>
      <c r="F512" t="s">
        <v>33</v>
      </c>
      <c r="G512" s="13">
        <v>50</v>
      </c>
    </row>
    <row r="513" spans="2:7" x14ac:dyDescent="0.35">
      <c r="B513" s="43">
        <v>45878.943402777775</v>
      </c>
      <c r="C513" t="s">
        <v>53</v>
      </c>
      <c r="D513" t="s">
        <v>11</v>
      </c>
      <c r="E513" t="s">
        <v>78</v>
      </c>
      <c r="F513" t="s">
        <v>33</v>
      </c>
      <c r="G513" s="13">
        <v>50</v>
      </c>
    </row>
    <row r="514" spans="2:7" x14ac:dyDescent="0.35">
      <c r="B514" s="43">
        <v>45885.962638888886</v>
      </c>
      <c r="C514" t="s">
        <v>53</v>
      </c>
      <c r="D514" t="s">
        <v>11</v>
      </c>
      <c r="E514" t="s">
        <v>78</v>
      </c>
      <c r="F514" t="s">
        <v>33</v>
      </c>
      <c r="G514" s="13">
        <v>50</v>
      </c>
    </row>
    <row r="515" spans="2:7" x14ac:dyDescent="0.35">
      <c r="B515" s="43">
        <v>45892.981874999998</v>
      </c>
      <c r="C515" t="s">
        <v>53</v>
      </c>
      <c r="D515" t="s">
        <v>11</v>
      </c>
      <c r="E515" t="s">
        <v>78</v>
      </c>
      <c r="F515" t="s">
        <v>33</v>
      </c>
      <c r="G515" s="13">
        <v>50</v>
      </c>
    </row>
    <row r="516" spans="2:7" x14ac:dyDescent="0.35">
      <c r="B516" s="43">
        <v>45900.001111111109</v>
      </c>
      <c r="C516" t="s">
        <v>53</v>
      </c>
      <c r="D516" t="s">
        <v>11</v>
      </c>
      <c r="E516" t="s">
        <v>78</v>
      </c>
      <c r="F516" t="s">
        <v>33</v>
      </c>
      <c r="G516" s="13">
        <v>50</v>
      </c>
    </row>
    <row r="517" spans="2:7" x14ac:dyDescent="0.35">
      <c r="B517" s="43">
        <v>45907.02034722222</v>
      </c>
      <c r="C517" t="s">
        <v>53</v>
      </c>
      <c r="D517" t="s">
        <v>11</v>
      </c>
      <c r="E517" t="s">
        <v>78</v>
      </c>
      <c r="F517" t="s">
        <v>33</v>
      </c>
      <c r="G517" s="13">
        <v>50</v>
      </c>
    </row>
    <row r="518" spans="2:7" x14ac:dyDescent="0.35">
      <c r="B518" s="43">
        <v>45914.039583333331</v>
      </c>
      <c r="C518" t="s">
        <v>53</v>
      </c>
      <c r="D518" t="s">
        <v>11</v>
      </c>
      <c r="E518" t="s">
        <v>78</v>
      </c>
      <c r="F518" t="s">
        <v>33</v>
      </c>
      <c r="G518" s="13">
        <v>50</v>
      </c>
    </row>
    <row r="519" spans="2:7" x14ac:dyDescent="0.35">
      <c r="B519" s="43">
        <v>45921.058819444443</v>
      </c>
      <c r="C519" t="s">
        <v>53</v>
      </c>
      <c r="D519" t="s">
        <v>11</v>
      </c>
      <c r="E519" t="s">
        <v>78</v>
      </c>
      <c r="F519" t="s">
        <v>33</v>
      </c>
      <c r="G519" s="13">
        <v>50</v>
      </c>
    </row>
    <row r="520" spans="2:7" x14ac:dyDescent="0.35">
      <c r="B520" s="43">
        <v>45928.078055555554</v>
      </c>
      <c r="C520" t="s">
        <v>53</v>
      </c>
      <c r="D520" t="s">
        <v>11</v>
      </c>
      <c r="E520" t="s">
        <v>78</v>
      </c>
      <c r="F520" t="s">
        <v>33</v>
      </c>
      <c r="G520" s="13">
        <v>50</v>
      </c>
    </row>
    <row r="521" spans="2:7" x14ac:dyDescent="0.35">
      <c r="B521" s="43">
        <v>45935.097291666665</v>
      </c>
      <c r="C521" t="s">
        <v>53</v>
      </c>
      <c r="D521" t="s">
        <v>11</v>
      </c>
      <c r="E521" t="s">
        <v>78</v>
      </c>
      <c r="F521" t="s">
        <v>33</v>
      </c>
      <c r="G521" s="13">
        <v>50</v>
      </c>
    </row>
    <row r="522" spans="2:7" x14ac:dyDescent="0.35">
      <c r="B522" s="43">
        <v>45942.116527777776</v>
      </c>
      <c r="C522" t="s">
        <v>53</v>
      </c>
      <c r="D522" t="s">
        <v>11</v>
      </c>
      <c r="E522" t="s">
        <v>78</v>
      </c>
      <c r="F522" t="s">
        <v>33</v>
      </c>
      <c r="G522" s="13">
        <v>50</v>
      </c>
    </row>
    <row r="523" spans="2:7" x14ac:dyDescent="0.35">
      <c r="B523" s="43">
        <v>45949.135763888888</v>
      </c>
      <c r="C523" t="s">
        <v>53</v>
      </c>
      <c r="D523" t="s">
        <v>11</v>
      </c>
      <c r="E523" t="s">
        <v>78</v>
      </c>
      <c r="F523" t="s">
        <v>33</v>
      </c>
      <c r="G523" s="13">
        <v>50</v>
      </c>
    </row>
    <row r="524" spans="2:7" x14ac:dyDescent="0.35">
      <c r="B524" s="43">
        <v>45956.154999999999</v>
      </c>
      <c r="C524" t="s">
        <v>53</v>
      </c>
      <c r="D524" t="s">
        <v>11</v>
      </c>
      <c r="E524" t="s">
        <v>78</v>
      </c>
      <c r="F524" t="s">
        <v>33</v>
      </c>
      <c r="G524" s="13">
        <v>50</v>
      </c>
    </row>
    <row r="525" spans="2:7" x14ac:dyDescent="0.35">
      <c r="B525" s="43">
        <v>45963.17423611111</v>
      </c>
      <c r="C525" t="s">
        <v>53</v>
      </c>
      <c r="D525" t="s">
        <v>11</v>
      </c>
      <c r="E525" t="s">
        <v>78</v>
      </c>
      <c r="F525" t="s">
        <v>33</v>
      </c>
      <c r="G525" s="13">
        <v>50</v>
      </c>
    </row>
    <row r="526" spans="2:7" x14ac:dyDescent="0.35">
      <c r="B526" s="43">
        <v>45970.193472222221</v>
      </c>
      <c r="C526" t="s">
        <v>53</v>
      </c>
      <c r="D526" t="s">
        <v>11</v>
      </c>
      <c r="E526" t="s">
        <v>78</v>
      </c>
      <c r="F526" t="s">
        <v>33</v>
      </c>
      <c r="G526" s="13">
        <v>50</v>
      </c>
    </row>
    <row r="527" spans="2:7" x14ac:dyDescent="0.35">
      <c r="B527" s="43">
        <v>45977.212708333333</v>
      </c>
      <c r="C527" t="s">
        <v>53</v>
      </c>
      <c r="D527" t="s">
        <v>11</v>
      </c>
      <c r="E527" t="s">
        <v>78</v>
      </c>
      <c r="F527" t="s">
        <v>33</v>
      </c>
      <c r="G527" s="13">
        <v>50</v>
      </c>
    </row>
    <row r="528" spans="2:7" x14ac:dyDescent="0.35">
      <c r="B528" s="43">
        <v>45984.231944444444</v>
      </c>
      <c r="C528" t="s">
        <v>53</v>
      </c>
      <c r="D528" t="s">
        <v>11</v>
      </c>
      <c r="E528" t="s">
        <v>78</v>
      </c>
      <c r="F528" t="s">
        <v>33</v>
      </c>
      <c r="G528" s="13">
        <v>50</v>
      </c>
    </row>
    <row r="529" spans="2:7" x14ac:dyDescent="0.35">
      <c r="B529" s="1">
        <v>45991.251180555555</v>
      </c>
      <c r="C529" t="s">
        <v>53</v>
      </c>
      <c r="D529" t="s">
        <v>11</v>
      </c>
      <c r="E529" t="s">
        <v>78</v>
      </c>
      <c r="F529" t="s">
        <v>33</v>
      </c>
      <c r="G529" s="13">
        <v>50</v>
      </c>
    </row>
    <row r="530" spans="2:7" x14ac:dyDescent="0.35">
      <c r="B530" s="43">
        <v>45998.270416666666</v>
      </c>
      <c r="C530" t="s">
        <v>53</v>
      </c>
      <c r="D530" t="s">
        <v>11</v>
      </c>
      <c r="E530" t="s">
        <v>78</v>
      </c>
      <c r="F530" t="s">
        <v>33</v>
      </c>
      <c r="G530" s="13">
        <v>50</v>
      </c>
    </row>
    <row r="531" spans="2:7" x14ac:dyDescent="0.35">
      <c r="B531" s="43">
        <v>46005.289652777778</v>
      </c>
      <c r="C531" t="s">
        <v>53</v>
      </c>
      <c r="D531" t="s">
        <v>11</v>
      </c>
      <c r="E531" t="s">
        <v>78</v>
      </c>
      <c r="F531" t="s">
        <v>33</v>
      </c>
      <c r="G531" s="13">
        <v>50</v>
      </c>
    </row>
    <row r="532" spans="2:7" x14ac:dyDescent="0.35">
      <c r="B532" s="43">
        <v>46012.308888888889</v>
      </c>
      <c r="C532" t="s">
        <v>53</v>
      </c>
      <c r="D532" t="s">
        <v>11</v>
      </c>
      <c r="E532" t="s">
        <v>78</v>
      </c>
      <c r="F532" t="s">
        <v>33</v>
      </c>
      <c r="G532" s="13">
        <v>50</v>
      </c>
    </row>
    <row r="533" spans="2:7" x14ac:dyDescent="0.35">
      <c r="B533" s="43">
        <v>46019.328125</v>
      </c>
      <c r="C533" t="s">
        <v>53</v>
      </c>
      <c r="D533" t="s">
        <v>11</v>
      </c>
      <c r="E533" t="s">
        <v>78</v>
      </c>
      <c r="F533" t="s">
        <v>33</v>
      </c>
      <c r="G533" s="13">
        <v>50</v>
      </c>
    </row>
    <row r="534" spans="2:7" x14ac:dyDescent="0.35">
      <c r="B534" s="1">
        <v>46026.347361111111</v>
      </c>
      <c r="C534" t="s">
        <v>53</v>
      </c>
      <c r="D534" t="s">
        <v>11</v>
      </c>
      <c r="E534" t="s">
        <v>78</v>
      </c>
      <c r="F534" t="s">
        <v>33</v>
      </c>
      <c r="G534" s="13">
        <v>50</v>
      </c>
    </row>
    <row r="535" spans="2:7" x14ac:dyDescent="0.35">
      <c r="B535" s="43">
        <v>46033.366597222222</v>
      </c>
      <c r="C535" t="s">
        <v>53</v>
      </c>
      <c r="D535" t="s">
        <v>11</v>
      </c>
      <c r="E535" t="s">
        <v>78</v>
      </c>
      <c r="F535" t="s">
        <v>33</v>
      </c>
      <c r="G535" s="13">
        <v>50</v>
      </c>
    </row>
    <row r="536" spans="2:7" x14ac:dyDescent="0.35">
      <c r="B536" s="43">
        <v>46040.385833333334</v>
      </c>
      <c r="C536" t="s">
        <v>53</v>
      </c>
      <c r="D536" t="s">
        <v>11</v>
      </c>
      <c r="E536" t="s">
        <v>78</v>
      </c>
      <c r="F536" t="s">
        <v>33</v>
      </c>
      <c r="G536" s="13">
        <v>50</v>
      </c>
    </row>
    <row r="537" spans="2:7" x14ac:dyDescent="0.35">
      <c r="B537" s="43">
        <v>46047.405069444445</v>
      </c>
      <c r="C537" t="s">
        <v>53</v>
      </c>
      <c r="D537" t="s">
        <v>11</v>
      </c>
      <c r="E537" t="s">
        <v>78</v>
      </c>
      <c r="F537" t="s">
        <v>33</v>
      </c>
      <c r="G537" s="13">
        <v>50</v>
      </c>
    </row>
    <row r="538" spans="2:7" x14ac:dyDescent="0.35">
      <c r="B538" s="43">
        <v>46054.424305555556</v>
      </c>
      <c r="C538" t="s">
        <v>53</v>
      </c>
      <c r="D538" t="s">
        <v>11</v>
      </c>
      <c r="E538" t="s">
        <v>78</v>
      </c>
      <c r="F538" t="s">
        <v>33</v>
      </c>
      <c r="G538" s="13">
        <v>50</v>
      </c>
    </row>
    <row r="539" spans="2:7" x14ac:dyDescent="0.35">
      <c r="B539" s="1">
        <v>46061.443541666667</v>
      </c>
      <c r="C539" t="s">
        <v>53</v>
      </c>
      <c r="D539" t="s">
        <v>11</v>
      </c>
      <c r="E539" t="s">
        <v>78</v>
      </c>
      <c r="F539" t="s">
        <v>33</v>
      </c>
      <c r="G539" s="13">
        <v>50</v>
      </c>
    </row>
    <row r="540" spans="2:7" x14ac:dyDescent="0.35">
      <c r="B540" s="43">
        <v>46068.462777777779</v>
      </c>
      <c r="C540" t="s">
        <v>53</v>
      </c>
      <c r="D540" t="s">
        <v>11</v>
      </c>
      <c r="E540" t="s">
        <v>78</v>
      </c>
      <c r="F540" t="s">
        <v>33</v>
      </c>
      <c r="G540" s="13">
        <v>50</v>
      </c>
    </row>
    <row r="541" spans="2:7" x14ac:dyDescent="0.35">
      <c r="B541" s="43">
        <v>46075.48201388889</v>
      </c>
      <c r="C541" t="s">
        <v>53</v>
      </c>
      <c r="D541" t="s">
        <v>11</v>
      </c>
      <c r="E541" t="s">
        <v>78</v>
      </c>
      <c r="F541" t="s">
        <v>33</v>
      </c>
      <c r="G541" s="13">
        <v>50</v>
      </c>
    </row>
    <row r="542" spans="2:7" x14ac:dyDescent="0.35">
      <c r="B542" s="43">
        <v>46082.501250000001</v>
      </c>
      <c r="C542" t="s">
        <v>53</v>
      </c>
      <c r="D542" t="s">
        <v>11</v>
      </c>
      <c r="E542" t="s">
        <v>78</v>
      </c>
      <c r="F542" t="s">
        <v>33</v>
      </c>
      <c r="G542" s="13">
        <v>50</v>
      </c>
    </row>
    <row r="543" spans="2:7" x14ac:dyDescent="0.35">
      <c r="B543" s="43">
        <v>46089.520486111112</v>
      </c>
      <c r="C543" t="s">
        <v>53</v>
      </c>
      <c r="D543" t="s">
        <v>11</v>
      </c>
      <c r="E543" t="s">
        <v>78</v>
      </c>
      <c r="F543" t="s">
        <v>33</v>
      </c>
      <c r="G543" s="13">
        <v>50</v>
      </c>
    </row>
    <row r="544" spans="2:7" x14ac:dyDescent="0.35">
      <c r="B544" s="43">
        <v>46096.539722222224</v>
      </c>
      <c r="C544" t="s">
        <v>53</v>
      </c>
      <c r="D544" t="s">
        <v>11</v>
      </c>
      <c r="E544" t="s">
        <v>78</v>
      </c>
      <c r="F544" t="s">
        <v>33</v>
      </c>
      <c r="G544" s="13">
        <v>50</v>
      </c>
    </row>
    <row r="545" spans="2:7" x14ac:dyDescent="0.35">
      <c r="B545" s="43">
        <v>46103.558958333335</v>
      </c>
      <c r="C545" t="s">
        <v>53</v>
      </c>
      <c r="D545" t="s">
        <v>11</v>
      </c>
      <c r="E545" t="s">
        <v>78</v>
      </c>
      <c r="F545" t="s">
        <v>33</v>
      </c>
      <c r="G545" s="13">
        <v>50</v>
      </c>
    </row>
    <row r="546" spans="2:7" x14ac:dyDescent="0.35">
      <c r="B546" s="43">
        <v>46110.578194444446</v>
      </c>
      <c r="C546" t="s">
        <v>53</v>
      </c>
      <c r="D546" t="s">
        <v>11</v>
      </c>
      <c r="E546" t="s">
        <v>78</v>
      </c>
      <c r="F546" t="s">
        <v>33</v>
      </c>
      <c r="G546" s="13">
        <v>50</v>
      </c>
    </row>
    <row r="547" spans="2:7" x14ac:dyDescent="0.35">
      <c r="B547" s="1">
        <v>44440</v>
      </c>
      <c r="C547" t="s">
        <v>54</v>
      </c>
      <c r="D547" t="s">
        <v>24</v>
      </c>
      <c r="E547" t="s">
        <v>79</v>
      </c>
      <c r="F547" t="s">
        <v>34</v>
      </c>
      <c r="G547" s="13">
        <v>1000</v>
      </c>
    </row>
    <row r="548" spans="2:7" x14ac:dyDescent="0.35">
      <c r="B548" s="43">
        <v>44470.416666666664</v>
      </c>
      <c r="C548" t="s">
        <v>54</v>
      </c>
      <c r="D548" t="s">
        <v>24</v>
      </c>
      <c r="E548" t="s">
        <v>79</v>
      </c>
      <c r="F548" t="s">
        <v>34</v>
      </c>
      <c r="G548" s="13">
        <v>1000</v>
      </c>
    </row>
    <row r="549" spans="2:7" x14ac:dyDescent="0.35">
      <c r="B549" s="1">
        <v>44500.833333333336</v>
      </c>
      <c r="C549" t="s">
        <v>54</v>
      </c>
      <c r="D549" t="s">
        <v>24</v>
      </c>
      <c r="E549" t="s">
        <v>79</v>
      </c>
      <c r="F549" t="s">
        <v>34</v>
      </c>
      <c r="G549" s="13">
        <v>1000</v>
      </c>
    </row>
    <row r="550" spans="2:7" x14ac:dyDescent="0.35">
      <c r="B550" s="43">
        <v>44531.25</v>
      </c>
      <c r="C550" t="s">
        <v>54</v>
      </c>
      <c r="D550" t="s">
        <v>24</v>
      </c>
      <c r="E550" t="s">
        <v>79</v>
      </c>
      <c r="F550" t="s">
        <v>34</v>
      </c>
      <c r="G550" s="13">
        <v>1000</v>
      </c>
    </row>
    <row r="551" spans="2:7" x14ac:dyDescent="0.35">
      <c r="B551" s="43">
        <v>44561.666666666664</v>
      </c>
      <c r="C551" t="s">
        <v>54</v>
      </c>
      <c r="D551" t="s">
        <v>24</v>
      </c>
      <c r="E551" t="s">
        <v>79</v>
      </c>
      <c r="F551" t="s">
        <v>34</v>
      </c>
      <c r="G551" s="13">
        <v>1000</v>
      </c>
    </row>
    <row r="552" spans="2:7" x14ac:dyDescent="0.35">
      <c r="B552" s="43">
        <v>44592.083333333336</v>
      </c>
      <c r="C552" t="s">
        <v>54</v>
      </c>
      <c r="D552" t="s">
        <v>24</v>
      </c>
      <c r="E552" t="s">
        <v>79</v>
      </c>
      <c r="F552" t="s">
        <v>34</v>
      </c>
      <c r="G552" s="13">
        <v>1000</v>
      </c>
    </row>
    <row r="553" spans="2:7" x14ac:dyDescent="0.35">
      <c r="B553" s="43">
        <v>44622.5</v>
      </c>
      <c r="C553" t="s">
        <v>54</v>
      </c>
      <c r="D553" t="s">
        <v>24</v>
      </c>
      <c r="E553" t="s">
        <v>79</v>
      </c>
      <c r="F553" t="s">
        <v>34</v>
      </c>
      <c r="G553" s="13">
        <v>1000</v>
      </c>
    </row>
    <row r="554" spans="2:7" x14ac:dyDescent="0.35">
      <c r="B554" s="43">
        <v>44652.916666666664</v>
      </c>
      <c r="C554" t="s">
        <v>54</v>
      </c>
      <c r="D554" t="s">
        <v>24</v>
      </c>
      <c r="E554" t="s">
        <v>79</v>
      </c>
      <c r="F554" t="s">
        <v>34</v>
      </c>
      <c r="G554" s="13">
        <v>1000</v>
      </c>
    </row>
    <row r="555" spans="2:7" x14ac:dyDescent="0.35">
      <c r="B555" s="43">
        <v>44683.333333333336</v>
      </c>
      <c r="C555" t="s">
        <v>54</v>
      </c>
      <c r="D555" t="s">
        <v>24</v>
      </c>
      <c r="E555" t="s">
        <v>79</v>
      </c>
      <c r="F555" t="s">
        <v>34</v>
      </c>
      <c r="G555" s="13">
        <v>1000</v>
      </c>
    </row>
    <row r="556" spans="2:7" x14ac:dyDescent="0.35">
      <c r="B556" s="43">
        <v>44713.75</v>
      </c>
      <c r="C556" t="s">
        <v>54</v>
      </c>
      <c r="D556" t="s">
        <v>24</v>
      </c>
      <c r="E556" t="s">
        <v>79</v>
      </c>
      <c r="F556" t="s">
        <v>34</v>
      </c>
      <c r="G556" s="13">
        <v>1000</v>
      </c>
    </row>
    <row r="557" spans="2:7" x14ac:dyDescent="0.35">
      <c r="B557" s="43">
        <v>44744.166666666664</v>
      </c>
      <c r="C557" t="s">
        <v>54</v>
      </c>
      <c r="D557" t="s">
        <v>24</v>
      </c>
      <c r="E557" t="s">
        <v>79</v>
      </c>
      <c r="F557" t="s">
        <v>34</v>
      </c>
      <c r="G557" s="13">
        <v>1000</v>
      </c>
    </row>
    <row r="558" spans="2:7" x14ac:dyDescent="0.35">
      <c r="B558" s="43">
        <v>44774.583333333336</v>
      </c>
      <c r="C558" t="s">
        <v>54</v>
      </c>
      <c r="D558" t="s">
        <v>24</v>
      </c>
      <c r="E558" t="s">
        <v>79</v>
      </c>
      <c r="F558" t="s">
        <v>34</v>
      </c>
      <c r="G558" s="13">
        <v>1000</v>
      </c>
    </row>
    <row r="559" spans="2:7" x14ac:dyDescent="0.35">
      <c r="B559" s="43">
        <v>44805</v>
      </c>
      <c r="C559" t="s">
        <v>54</v>
      </c>
      <c r="D559" t="s">
        <v>24</v>
      </c>
      <c r="E559" t="s">
        <v>79</v>
      </c>
      <c r="F559" t="s">
        <v>34</v>
      </c>
      <c r="G559" s="13">
        <v>1000</v>
      </c>
    </row>
    <row r="560" spans="2:7" x14ac:dyDescent="0.35">
      <c r="B560" s="43">
        <v>44835.416666666664</v>
      </c>
      <c r="C560" t="s">
        <v>54</v>
      </c>
      <c r="D560" t="s">
        <v>24</v>
      </c>
      <c r="E560" t="s">
        <v>79</v>
      </c>
      <c r="F560" t="s">
        <v>34</v>
      </c>
      <c r="G560" s="13">
        <v>1000</v>
      </c>
    </row>
    <row r="561" spans="2:7" x14ac:dyDescent="0.35">
      <c r="B561" s="43">
        <v>44865.833333333336</v>
      </c>
      <c r="C561" t="s">
        <v>54</v>
      </c>
      <c r="D561" t="s">
        <v>24</v>
      </c>
      <c r="E561" t="s">
        <v>79</v>
      </c>
      <c r="F561" t="s">
        <v>34</v>
      </c>
      <c r="G561" s="13">
        <v>1000</v>
      </c>
    </row>
    <row r="562" spans="2:7" x14ac:dyDescent="0.35">
      <c r="B562" s="43">
        <v>44896.25</v>
      </c>
      <c r="C562" t="s">
        <v>54</v>
      </c>
      <c r="D562" t="s">
        <v>24</v>
      </c>
      <c r="E562" t="s">
        <v>79</v>
      </c>
      <c r="F562" t="s">
        <v>34</v>
      </c>
      <c r="G562" s="13">
        <v>1000</v>
      </c>
    </row>
    <row r="563" spans="2:7" x14ac:dyDescent="0.35">
      <c r="B563" s="43">
        <v>44926.666666666664</v>
      </c>
      <c r="C563" t="s">
        <v>54</v>
      </c>
      <c r="D563" t="s">
        <v>24</v>
      </c>
      <c r="E563" t="s">
        <v>79</v>
      </c>
      <c r="F563" t="s">
        <v>34</v>
      </c>
      <c r="G563" s="13">
        <v>1000</v>
      </c>
    </row>
    <row r="564" spans="2:7" x14ac:dyDescent="0.35">
      <c r="B564" s="43">
        <v>44957.083333333336</v>
      </c>
      <c r="C564" t="s">
        <v>54</v>
      </c>
      <c r="D564" t="s">
        <v>24</v>
      </c>
      <c r="E564" t="s">
        <v>79</v>
      </c>
      <c r="F564" t="s">
        <v>34</v>
      </c>
      <c r="G564" s="13">
        <v>1000</v>
      </c>
    </row>
    <row r="565" spans="2:7" x14ac:dyDescent="0.35">
      <c r="B565" s="43">
        <v>44987.5</v>
      </c>
      <c r="C565" t="s">
        <v>54</v>
      </c>
      <c r="D565" t="s">
        <v>24</v>
      </c>
      <c r="E565" t="s">
        <v>79</v>
      </c>
      <c r="F565" t="s">
        <v>34</v>
      </c>
      <c r="G565" s="13">
        <v>1000</v>
      </c>
    </row>
    <row r="566" spans="2:7" x14ac:dyDescent="0.35">
      <c r="B566" s="43">
        <v>45017.916666666664</v>
      </c>
      <c r="C566" t="s">
        <v>54</v>
      </c>
      <c r="D566" t="s">
        <v>24</v>
      </c>
      <c r="E566" t="s">
        <v>79</v>
      </c>
      <c r="F566" t="s">
        <v>34</v>
      </c>
      <c r="G566" s="13">
        <v>1000</v>
      </c>
    </row>
    <row r="567" spans="2:7" x14ac:dyDescent="0.35">
      <c r="B567" s="43">
        <v>45048.333333333336</v>
      </c>
      <c r="C567" t="s">
        <v>54</v>
      </c>
      <c r="D567" t="s">
        <v>24</v>
      </c>
      <c r="E567" t="s">
        <v>79</v>
      </c>
      <c r="F567" t="s">
        <v>34</v>
      </c>
      <c r="G567" s="13">
        <v>1000</v>
      </c>
    </row>
    <row r="568" spans="2:7" x14ac:dyDescent="0.35">
      <c r="B568" s="43">
        <v>45078.75</v>
      </c>
      <c r="C568" t="s">
        <v>54</v>
      </c>
      <c r="D568" t="s">
        <v>24</v>
      </c>
      <c r="E568" t="s">
        <v>79</v>
      </c>
      <c r="F568" t="s">
        <v>34</v>
      </c>
      <c r="G568" s="13">
        <v>1000</v>
      </c>
    </row>
    <row r="569" spans="2:7" x14ac:dyDescent="0.35">
      <c r="B569" s="43">
        <v>45109.166666666664</v>
      </c>
      <c r="C569" t="s">
        <v>54</v>
      </c>
      <c r="D569" t="s">
        <v>24</v>
      </c>
      <c r="E569" t="s">
        <v>79</v>
      </c>
      <c r="F569" t="s">
        <v>34</v>
      </c>
      <c r="G569" s="13">
        <v>1000</v>
      </c>
    </row>
    <row r="570" spans="2:7" x14ac:dyDescent="0.35">
      <c r="B570" s="43">
        <v>45139.583333333336</v>
      </c>
      <c r="C570" t="s">
        <v>54</v>
      </c>
      <c r="D570" t="s">
        <v>24</v>
      </c>
      <c r="E570" t="s">
        <v>79</v>
      </c>
      <c r="F570" t="s">
        <v>34</v>
      </c>
      <c r="G570" s="13">
        <v>1000</v>
      </c>
    </row>
    <row r="571" spans="2:7" x14ac:dyDescent="0.35">
      <c r="B571" s="43">
        <v>45170</v>
      </c>
      <c r="C571" t="s">
        <v>54</v>
      </c>
      <c r="D571" t="s">
        <v>24</v>
      </c>
      <c r="E571" t="s">
        <v>79</v>
      </c>
      <c r="F571" t="s">
        <v>34</v>
      </c>
      <c r="G571" s="13">
        <v>1000</v>
      </c>
    </row>
    <row r="572" spans="2:7" x14ac:dyDescent="0.35">
      <c r="B572" s="43">
        <v>45200.416666666664</v>
      </c>
      <c r="C572" t="s">
        <v>54</v>
      </c>
      <c r="D572" t="s">
        <v>24</v>
      </c>
      <c r="E572" t="s">
        <v>79</v>
      </c>
      <c r="F572" t="s">
        <v>34</v>
      </c>
      <c r="G572" s="13">
        <v>1000</v>
      </c>
    </row>
    <row r="573" spans="2:7" x14ac:dyDescent="0.35">
      <c r="B573" s="43">
        <v>45230.833333333336</v>
      </c>
      <c r="C573" t="s">
        <v>54</v>
      </c>
      <c r="D573" t="s">
        <v>24</v>
      </c>
      <c r="E573" t="s">
        <v>79</v>
      </c>
      <c r="F573" t="s">
        <v>34</v>
      </c>
      <c r="G573" s="13">
        <v>1000</v>
      </c>
    </row>
    <row r="574" spans="2:7" x14ac:dyDescent="0.35">
      <c r="B574" s="43">
        <v>45261.25</v>
      </c>
      <c r="C574" t="s">
        <v>54</v>
      </c>
      <c r="D574" t="s">
        <v>24</v>
      </c>
      <c r="E574" t="s">
        <v>79</v>
      </c>
      <c r="F574" t="s">
        <v>34</v>
      </c>
      <c r="G574" s="13">
        <v>1000</v>
      </c>
    </row>
    <row r="575" spans="2:7" x14ac:dyDescent="0.35">
      <c r="B575" s="43">
        <v>45291.666666666664</v>
      </c>
      <c r="C575" t="s">
        <v>54</v>
      </c>
      <c r="D575" t="s">
        <v>24</v>
      </c>
      <c r="E575" t="s">
        <v>79</v>
      </c>
      <c r="F575" t="s">
        <v>34</v>
      </c>
      <c r="G575" s="13">
        <v>1000</v>
      </c>
    </row>
    <row r="576" spans="2:7" x14ac:dyDescent="0.35">
      <c r="B576" s="43">
        <v>45322.083333333336</v>
      </c>
      <c r="C576" t="s">
        <v>54</v>
      </c>
      <c r="D576" t="s">
        <v>24</v>
      </c>
      <c r="E576" t="s">
        <v>79</v>
      </c>
      <c r="F576" t="s">
        <v>34</v>
      </c>
      <c r="G576" s="13">
        <v>1000</v>
      </c>
    </row>
    <row r="577" spans="2:7" x14ac:dyDescent="0.35">
      <c r="B577" s="43">
        <v>45352.5</v>
      </c>
      <c r="C577" t="s">
        <v>54</v>
      </c>
      <c r="D577" t="s">
        <v>24</v>
      </c>
      <c r="E577" t="s">
        <v>79</v>
      </c>
      <c r="F577" t="s">
        <v>34</v>
      </c>
      <c r="G577" s="13">
        <v>1000</v>
      </c>
    </row>
    <row r="578" spans="2:7" x14ac:dyDescent="0.35">
      <c r="B578" s="43">
        <v>45382.916666666664</v>
      </c>
      <c r="C578" t="s">
        <v>54</v>
      </c>
      <c r="D578" t="s">
        <v>24</v>
      </c>
      <c r="E578" t="s">
        <v>79</v>
      </c>
      <c r="F578" t="s">
        <v>34</v>
      </c>
      <c r="G578" s="13">
        <v>1000</v>
      </c>
    </row>
    <row r="579" spans="2:7" x14ac:dyDescent="0.35">
      <c r="B579" s="43">
        <v>45413.333333333336</v>
      </c>
      <c r="C579" t="s">
        <v>54</v>
      </c>
      <c r="D579" t="s">
        <v>24</v>
      </c>
      <c r="E579" t="s">
        <v>79</v>
      </c>
      <c r="F579" t="s">
        <v>34</v>
      </c>
      <c r="G579" s="13">
        <v>1000</v>
      </c>
    </row>
    <row r="580" spans="2:7" x14ac:dyDescent="0.35">
      <c r="B580" s="43">
        <v>45443.75</v>
      </c>
      <c r="C580" t="s">
        <v>54</v>
      </c>
      <c r="D580" t="s">
        <v>24</v>
      </c>
      <c r="E580" t="s">
        <v>79</v>
      </c>
      <c r="F580" t="s">
        <v>34</v>
      </c>
      <c r="G580" s="13">
        <v>1000</v>
      </c>
    </row>
    <row r="581" spans="2:7" x14ac:dyDescent="0.35">
      <c r="B581" s="43">
        <v>45474.166666666664</v>
      </c>
      <c r="C581" t="s">
        <v>54</v>
      </c>
      <c r="D581" t="s">
        <v>24</v>
      </c>
      <c r="E581" t="s">
        <v>79</v>
      </c>
      <c r="F581" t="s">
        <v>34</v>
      </c>
      <c r="G581" s="13">
        <v>1000</v>
      </c>
    </row>
    <row r="582" spans="2:7" x14ac:dyDescent="0.35">
      <c r="B582" s="43">
        <v>45504.583333333336</v>
      </c>
      <c r="C582" t="s">
        <v>54</v>
      </c>
      <c r="D582" t="s">
        <v>24</v>
      </c>
      <c r="E582" t="s">
        <v>79</v>
      </c>
      <c r="F582" t="s">
        <v>34</v>
      </c>
      <c r="G582" s="13">
        <v>1000</v>
      </c>
    </row>
    <row r="583" spans="2:7" x14ac:dyDescent="0.35">
      <c r="B583" s="43">
        <v>45535</v>
      </c>
      <c r="C583" t="s">
        <v>54</v>
      </c>
      <c r="D583" t="s">
        <v>24</v>
      </c>
      <c r="E583" t="s">
        <v>79</v>
      </c>
      <c r="F583" t="s">
        <v>34</v>
      </c>
      <c r="G583" s="13">
        <v>1000</v>
      </c>
    </row>
    <row r="584" spans="2:7" x14ac:dyDescent="0.35">
      <c r="B584" s="43">
        <v>45565.416666666664</v>
      </c>
      <c r="C584" t="s">
        <v>54</v>
      </c>
      <c r="D584" t="s">
        <v>24</v>
      </c>
      <c r="E584" t="s">
        <v>79</v>
      </c>
      <c r="F584" t="s">
        <v>34</v>
      </c>
      <c r="G584" s="13">
        <v>1000</v>
      </c>
    </row>
    <row r="585" spans="2:7" x14ac:dyDescent="0.35">
      <c r="B585" s="43">
        <v>45595.833333333336</v>
      </c>
      <c r="C585" t="s">
        <v>54</v>
      </c>
      <c r="D585" t="s">
        <v>24</v>
      </c>
      <c r="E585" t="s">
        <v>79</v>
      </c>
      <c r="F585" t="s">
        <v>34</v>
      </c>
      <c r="G585" s="13">
        <v>1000</v>
      </c>
    </row>
    <row r="586" spans="2:7" x14ac:dyDescent="0.35">
      <c r="B586" s="43">
        <v>45626.25</v>
      </c>
      <c r="C586" t="s">
        <v>54</v>
      </c>
      <c r="D586" t="s">
        <v>24</v>
      </c>
      <c r="E586" t="s">
        <v>79</v>
      </c>
      <c r="F586" t="s">
        <v>34</v>
      </c>
      <c r="G586" s="13">
        <v>1000</v>
      </c>
    </row>
    <row r="587" spans="2:7" x14ac:dyDescent="0.35">
      <c r="B587" s="43">
        <v>45656.666666666664</v>
      </c>
      <c r="C587" t="s">
        <v>54</v>
      </c>
      <c r="D587" t="s">
        <v>24</v>
      </c>
      <c r="E587" t="s">
        <v>79</v>
      </c>
      <c r="F587" t="s">
        <v>34</v>
      </c>
      <c r="G587" s="13">
        <v>1000</v>
      </c>
    </row>
    <row r="588" spans="2:7" x14ac:dyDescent="0.35">
      <c r="B588" s="43">
        <v>45687.083333333336</v>
      </c>
      <c r="C588" t="s">
        <v>54</v>
      </c>
      <c r="D588" t="s">
        <v>24</v>
      </c>
      <c r="E588" t="s">
        <v>79</v>
      </c>
      <c r="F588" t="s">
        <v>34</v>
      </c>
      <c r="G588" s="13">
        <v>1000</v>
      </c>
    </row>
    <row r="589" spans="2:7" x14ac:dyDescent="0.35">
      <c r="B589" s="43">
        <v>45717.5</v>
      </c>
      <c r="C589" t="s">
        <v>54</v>
      </c>
      <c r="D589" t="s">
        <v>24</v>
      </c>
      <c r="E589" t="s">
        <v>79</v>
      </c>
      <c r="F589" t="s">
        <v>34</v>
      </c>
      <c r="G589" s="13">
        <v>1000</v>
      </c>
    </row>
    <row r="590" spans="2:7" x14ac:dyDescent="0.35">
      <c r="B590" s="1">
        <v>45747.916666666664</v>
      </c>
      <c r="C590" t="s">
        <v>54</v>
      </c>
      <c r="D590" t="s">
        <v>24</v>
      </c>
      <c r="E590" t="s">
        <v>79</v>
      </c>
      <c r="F590" t="s">
        <v>34</v>
      </c>
      <c r="G590" s="13">
        <v>1000</v>
      </c>
    </row>
    <row r="591" spans="2:7" x14ac:dyDescent="0.35">
      <c r="B591" s="43">
        <v>45778.333333333336</v>
      </c>
      <c r="C591" t="s">
        <v>54</v>
      </c>
      <c r="D591" t="s">
        <v>24</v>
      </c>
      <c r="E591" t="s">
        <v>79</v>
      </c>
      <c r="F591" t="s">
        <v>34</v>
      </c>
      <c r="G591" s="13">
        <v>1000</v>
      </c>
    </row>
    <row r="592" spans="2:7" x14ac:dyDescent="0.35">
      <c r="B592" s="43">
        <v>45808.75</v>
      </c>
      <c r="C592" t="s">
        <v>54</v>
      </c>
      <c r="D592" t="s">
        <v>24</v>
      </c>
      <c r="E592" t="s">
        <v>79</v>
      </c>
      <c r="F592" t="s">
        <v>34</v>
      </c>
      <c r="G592" s="13">
        <v>1000</v>
      </c>
    </row>
    <row r="593" spans="2:7" x14ac:dyDescent="0.35">
      <c r="B593" s="43">
        <v>45839.166666666664</v>
      </c>
      <c r="C593" t="s">
        <v>54</v>
      </c>
      <c r="D593" t="s">
        <v>24</v>
      </c>
      <c r="E593" t="s">
        <v>79</v>
      </c>
      <c r="F593" t="s">
        <v>34</v>
      </c>
      <c r="G593" s="13">
        <v>1000</v>
      </c>
    </row>
    <row r="594" spans="2:7" x14ac:dyDescent="0.35">
      <c r="B594" s="43">
        <v>45869.583333333336</v>
      </c>
      <c r="C594" t="s">
        <v>54</v>
      </c>
      <c r="D594" t="s">
        <v>24</v>
      </c>
      <c r="E594" t="s">
        <v>79</v>
      </c>
      <c r="F594" t="s">
        <v>34</v>
      </c>
      <c r="G594" s="13">
        <v>1000</v>
      </c>
    </row>
    <row r="595" spans="2:7" x14ac:dyDescent="0.35">
      <c r="B595" s="43">
        <v>45900</v>
      </c>
      <c r="C595" t="s">
        <v>54</v>
      </c>
      <c r="D595" t="s">
        <v>24</v>
      </c>
      <c r="E595" t="s">
        <v>79</v>
      </c>
      <c r="F595" t="s">
        <v>34</v>
      </c>
      <c r="G595" s="13">
        <v>1000</v>
      </c>
    </row>
    <row r="596" spans="2:7" x14ac:dyDescent="0.35">
      <c r="B596" s="43">
        <v>45930.416666666664</v>
      </c>
      <c r="C596" t="s">
        <v>54</v>
      </c>
      <c r="D596" t="s">
        <v>24</v>
      </c>
      <c r="E596" t="s">
        <v>79</v>
      </c>
      <c r="F596" t="s">
        <v>34</v>
      </c>
      <c r="G596" s="13">
        <v>1000</v>
      </c>
    </row>
    <row r="597" spans="2:7" x14ac:dyDescent="0.35">
      <c r="B597" s="43">
        <v>45960.833333333336</v>
      </c>
      <c r="C597" t="s">
        <v>54</v>
      </c>
      <c r="D597" t="s">
        <v>24</v>
      </c>
      <c r="E597" t="s">
        <v>79</v>
      </c>
      <c r="F597" t="s">
        <v>34</v>
      </c>
      <c r="G597" s="13">
        <v>1000</v>
      </c>
    </row>
    <row r="598" spans="2:7" x14ac:dyDescent="0.35">
      <c r="B598" s="43">
        <v>45991.25</v>
      </c>
      <c r="C598" t="s">
        <v>54</v>
      </c>
      <c r="D598" t="s">
        <v>24</v>
      </c>
      <c r="E598" t="s">
        <v>79</v>
      </c>
      <c r="F598" t="s">
        <v>34</v>
      </c>
      <c r="G598" s="13">
        <v>1000</v>
      </c>
    </row>
    <row r="599" spans="2:7" x14ac:dyDescent="0.35">
      <c r="B599" s="43">
        <v>46021.666666666664</v>
      </c>
      <c r="C599" t="s">
        <v>54</v>
      </c>
      <c r="D599" t="s">
        <v>24</v>
      </c>
      <c r="E599" t="s">
        <v>79</v>
      </c>
      <c r="F599" t="s">
        <v>34</v>
      </c>
      <c r="G599" s="13">
        <v>1000</v>
      </c>
    </row>
    <row r="600" spans="2:7" x14ac:dyDescent="0.35">
      <c r="B600" s="1">
        <v>46052.083333333336</v>
      </c>
      <c r="C600" t="s">
        <v>54</v>
      </c>
      <c r="D600" t="s">
        <v>24</v>
      </c>
      <c r="E600" t="s">
        <v>79</v>
      </c>
      <c r="F600" t="s">
        <v>34</v>
      </c>
      <c r="G600" s="13">
        <v>1000</v>
      </c>
    </row>
    <row r="601" spans="2:7" x14ac:dyDescent="0.35">
      <c r="B601" s="43">
        <v>46082.5</v>
      </c>
      <c r="C601" t="s">
        <v>54</v>
      </c>
      <c r="D601" t="s">
        <v>24</v>
      </c>
      <c r="E601" t="s">
        <v>79</v>
      </c>
      <c r="F601" t="s">
        <v>34</v>
      </c>
      <c r="G601" s="13">
        <v>1000</v>
      </c>
    </row>
    <row r="602" spans="2:7" x14ac:dyDescent="0.35">
      <c r="B602" s="43">
        <v>46112.916666666664</v>
      </c>
      <c r="C602" t="s">
        <v>54</v>
      </c>
      <c r="D602" t="s">
        <v>24</v>
      </c>
      <c r="E602" t="s">
        <v>79</v>
      </c>
      <c r="F602" t="s">
        <v>34</v>
      </c>
      <c r="G602" s="13">
        <v>1000</v>
      </c>
    </row>
    <row r="603" spans="2:7" x14ac:dyDescent="0.35">
      <c r="B603" s="1">
        <v>44440</v>
      </c>
      <c r="C603" t="s">
        <v>30</v>
      </c>
      <c r="D603" t="s">
        <v>31</v>
      </c>
      <c r="E603" t="s">
        <v>80</v>
      </c>
      <c r="F603" t="s">
        <v>34</v>
      </c>
      <c r="G603" s="13">
        <v>8000</v>
      </c>
    </row>
    <row r="604" spans="2:7" x14ac:dyDescent="0.35">
      <c r="B604" s="43">
        <v>44668.125</v>
      </c>
      <c r="C604" t="s">
        <v>30</v>
      </c>
      <c r="D604" t="s">
        <v>31</v>
      </c>
      <c r="E604" t="s">
        <v>80</v>
      </c>
      <c r="F604" t="s">
        <v>34</v>
      </c>
      <c r="G604" s="13">
        <v>8000</v>
      </c>
    </row>
    <row r="605" spans="2:7" x14ac:dyDescent="0.35">
      <c r="B605" s="43">
        <v>44896.25</v>
      </c>
      <c r="C605" t="s">
        <v>30</v>
      </c>
      <c r="D605" t="s">
        <v>31</v>
      </c>
      <c r="E605" t="s">
        <v>80</v>
      </c>
      <c r="F605" t="s">
        <v>34</v>
      </c>
      <c r="G605" s="13">
        <v>8000</v>
      </c>
    </row>
    <row r="606" spans="2:7" x14ac:dyDescent="0.35">
      <c r="B606" s="43">
        <v>45124.375</v>
      </c>
      <c r="C606" t="s">
        <v>30</v>
      </c>
      <c r="D606" t="s">
        <v>31</v>
      </c>
      <c r="E606" t="s">
        <v>80</v>
      </c>
      <c r="F606" t="s">
        <v>34</v>
      </c>
      <c r="G606" s="13">
        <v>8000</v>
      </c>
    </row>
    <row r="607" spans="2:7" x14ac:dyDescent="0.35">
      <c r="B607" s="43">
        <v>45352.5</v>
      </c>
      <c r="C607" t="s">
        <v>30</v>
      </c>
      <c r="D607" t="s">
        <v>31</v>
      </c>
      <c r="E607" t="s">
        <v>80</v>
      </c>
      <c r="F607" t="s">
        <v>34</v>
      </c>
      <c r="G607" s="13">
        <v>8000</v>
      </c>
    </row>
    <row r="608" spans="2:7" x14ac:dyDescent="0.35">
      <c r="B608" s="43">
        <v>45580.625</v>
      </c>
      <c r="C608" t="s">
        <v>30</v>
      </c>
      <c r="D608" t="s">
        <v>31</v>
      </c>
      <c r="E608" t="s">
        <v>80</v>
      </c>
      <c r="F608" t="s">
        <v>34</v>
      </c>
      <c r="G608" s="13">
        <v>8000</v>
      </c>
    </row>
    <row r="609" spans="2:7" x14ac:dyDescent="0.35">
      <c r="B609" s="43">
        <v>45808.75</v>
      </c>
      <c r="C609" t="s">
        <v>30</v>
      </c>
      <c r="D609" t="s">
        <v>31</v>
      </c>
      <c r="E609" t="s">
        <v>80</v>
      </c>
      <c r="F609" t="s">
        <v>34</v>
      </c>
      <c r="G609" s="13">
        <v>8000</v>
      </c>
    </row>
    <row r="610" spans="2:7" x14ac:dyDescent="0.35">
      <c r="B610" s="1">
        <v>46036.875</v>
      </c>
      <c r="C610" t="s">
        <v>30</v>
      </c>
      <c r="D610" t="s">
        <v>31</v>
      </c>
      <c r="E610" t="s">
        <v>80</v>
      </c>
      <c r="F610" t="s">
        <v>34</v>
      </c>
      <c r="G610" s="13">
        <v>8000</v>
      </c>
    </row>
    <row r="611" spans="2:7" x14ac:dyDescent="0.35">
      <c r="B611" s="43"/>
      <c r="G611" s="13"/>
    </row>
    <row r="612" spans="2:7" x14ac:dyDescent="0.35">
      <c r="B612" s="43"/>
      <c r="G612" s="13"/>
    </row>
    <row r="613" spans="2:7" x14ac:dyDescent="0.35">
      <c r="B613" s="43"/>
      <c r="G613" s="13"/>
    </row>
    <row r="614" spans="2:7" x14ac:dyDescent="0.35">
      <c r="B614" s="43"/>
      <c r="G614" s="13"/>
    </row>
    <row r="615" spans="2:7" x14ac:dyDescent="0.35">
      <c r="B615" s="43"/>
      <c r="G615" s="13"/>
    </row>
    <row r="616" spans="2:7" x14ac:dyDescent="0.35">
      <c r="B616" s="43"/>
      <c r="G616" s="13"/>
    </row>
    <row r="617" spans="2:7" x14ac:dyDescent="0.35">
      <c r="B617" s="43"/>
      <c r="G617" s="13"/>
    </row>
    <row r="618" spans="2:7" x14ac:dyDescent="0.35">
      <c r="B618" s="43"/>
      <c r="G618" s="13"/>
    </row>
    <row r="619" spans="2:7" x14ac:dyDescent="0.35">
      <c r="B619" s="43"/>
      <c r="G619" s="13"/>
    </row>
    <row r="620" spans="2:7" x14ac:dyDescent="0.35">
      <c r="B620" s="43"/>
      <c r="G620" s="13"/>
    </row>
    <row r="621" spans="2:7" x14ac:dyDescent="0.35">
      <c r="B621" s="43"/>
      <c r="G621" s="13"/>
    </row>
    <row r="622" spans="2:7" x14ac:dyDescent="0.35">
      <c r="B622" s="43"/>
      <c r="G622" s="13"/>
    </row>
    <row r="623" spans="2:7" x14ac:dyDescent="0.35">
      <c r="B623" s="43"/>
      <c r="G623" s="13"/>
    </row>
    <row r="624" spans="2:7" x14ac:dyDescent="0.35">
      <c r="B624" s="43"/>
      <c r="G624" s="13"/>
    </row>
    <row r="625" spans="2:7" x14ac:dyDescent="0.35">
      <c r="B625" s="43"/>
      <c r="G625" s="13"/>
    </row>
    <row r="626" spans="2:7" x14ac:dyDescent="0.35">
      <c r="B626" s="43"/>
      <c r="G626" s="13"/>
    </row>
    <row r="627" spans="2:7" x14ac:dyDescent="0.35">
      <c r="B627" s="43"/>
      <c r="G627" s="13"/>
    </row>
    <row r="628" spans="2:7" x14ac:dyDescent="0.35">
      <c r="B628" s="43"/>
      <c r="G628" s="13"/>
    </row>
    <row r="629" spans="2:7" x14ac:dyDescent="0.35">
      <c r="B629" s="43"/>
      <c r="G629" s="13"/>
    </row>
    <row r="630" spans="2:7" x14ac:dyDescent="0.35">
      <c r="B630" s="43"/>
      <c r="G630" s="13"/>
    </row>
    <row r="631" spans="2:7" x14ac:dyDescent="0.35">
      <c r="B631" s="43"/>
      <c r="G631" s="13"/>
    </row>
    <row r="632" spans="2:7" x14ac:dyDescent="0.35">
      <c r="B632" s="43"/>
      <c r="G632" s="13"/>
    </row>
    <row r="633" spans="2:7" x14ac:dyDescent="0.35">
      <c r="B633" s="43"/>
      <c r="G633" s="13"/>
    </row>
    <row r="634" spans="2:7" x14ac:dyDescent="0.35">
      <c r="B634" s="43"/>
      <c r="G634" s="13"/>
    </row>
    <row r="635" spans="2:7" x14ac:dyDescent="0.35">
      <c r="B635" s="43"/>
      <c r="G635" s="13"/>
    </row>
    <row r="636" spans="2:7" x14ac:dyDescent="0.35">
      <c r="B636" s="43"/>
      <c r="G636" s="13"/>
    </row>
    <row r="637" spans="2:7" x14ac:dyDescent="0.35">
      <c r="B637" s="43"/>
      <c r="G637" s="13"/>
    </row>
    <row r="638" spans="2:7" x14ac:dyDescent="0.35">
      <c r="B638" s="43"/>
      <c r="G638" s="13"/>
    </row>
    <row r="639" spans="2:7" x14ac:dyDescent="0.35">
      <c r="B639" s="43"/>
      <c r="G639" s="13"/>
    </row>
    <row r="640" spans="2:7" x14ac:dyDescent="0.35">
      <c r="B640" s="43"/>
      <c r="G640" s="13"/>
    </row>
    <row r="641" spans="2:7" x14ac:dyDescent="0.35">
      <c r="B641" s="43"/>
      <c r="G641" s="13"/>
    </row>
    <row r="642" spans="2:7" x14ac:dyDescent="0.35">
      <c r="B642" s="43"/>
      <c r="G642" s="13"/>
    </row>
    <row r="643" spans="2:7" x14ac:dyDescent="0.35">
      <c r="B643" s="43"/>
      <c r="G643" s="13"/>
    </row>
    <row r="644" spans="2:7" x14ac:dyDescent="0.35">
      <c r="B644" s="43"/>
      <c r="G644" s="13"/>
    </row>
    <row r="645" spans="2:7" x14ac:dyDescent="0.35">
      <c r="B645" s="43"/>
      <c r="G645" s="13"/>
    </row>
    <row r="646" spans="2:7" x14ac:dyDescent="0.35">
      <c r="B646" s="43"/>
      <c r="G646" s="13"/>
    </row>
    <row r="647" spans="2:7" x14ac:dyDescent="0.35">
      <c r="B647" s="43"/>
      <c r="G647" s="13"/>
    </row>
    <row r="648" spans="2:7" x14ac:dyDescent="0.35">
      <c r="B648" s="43"/>
      <c r="G648" s="13"/>
    </row>
    <row r="649" spans="2:7" x14ac:dyDescent="0.35">
      <c r="B649" s="43"/>
      <c r="G649" s="13"/>
    </row>
    <row r="650" spans="2:7" x14ac:dyDescent="0.35">
      <c r="B650" s="43"/>
      <c r="G650" s="13"/>
    </row>
    <row r="651" spans="2:7" x14ac:dyDescent="0.35">
      <c r="B651" s="43"/>
      <c r="G651" s="13"/>
    </row>
    <row r="652" spans="2:7" x14ac:dyDescent="0.35">
      <c r="B652" s="43"/>
      <c r="G652" s="13"/>
    </row>
    <row r="653" spans="2:7" x14ac:dyDescent="0.35">
      <c r="B653" s="43"/>
      <c r="G653" s="13"/>
    </row>
    <row r="654" spans="2:7" x14ac:dyDescent="0.35">
      <c r="B654" s="43"/>
      <c r="G654" s="13"/>
    </row>
    <row r="655" spans="2:7" x14ac:dyDescent="0.35">
      <c r="B655" s="43"/>
      <c r="G655" s="13"/>
    </row>
    <row r="656" spans="2:7" x14ac:dyDescent="0.35">
      <c r="B656" s="43"/>
      <c r="G656" s="13"/>
    </row>
    <row r="657" spans="2:7" x14ac:dyDescent="0.35">
      <c r="B657" s="43"/>
      <c r="G657" s="13"/>
    </row>
    <row r="658" spans="2:7" x14ac:dyDescent="0.35">
      <c r="B658" s="43"/>
      <c r="G658" s="13"/>
    </row>
    <row r="659" spans="2:7" x14ac:dyDescent="0.35">
      <c r="B659" s="43"/>
      <c r="G659" s="13"/>
    </row>
    <row r="660" spans="2:7" x14ac:dyDescent="0.35">
      <c r="B660" s="43"/>
      <c r="G660" s="13"/>
    </row>
    <row r="661" spans="2:7" x14ac:dyDescent="0.35">
      <c r="B661" s="43"/>
      <c r="G661" s="13"/>
    </row>
    <row r="662" spans="2:7" x14ac:dyDescent="0.35">
      <c r="B662" s="43"/>
      <c r="G662" s="13"/>
    </row>
    <row r="663" spans="2:7" x14ac:dyDescent="0.35">
      <c r="B663" s="43"/>
      <c r="G663" s="13"/>
    </row>
    <row r="664" spans="2:7" x14ac:dyDescent="0.35">
      <c r="B664" s="43"/>
      <c r="G664" s="13"/>
    </row>
    <row r="665" spans="2:7" x14ac:dyDescent="0.35">
      <c r="B665" s="43"/>
      <c r="G665" s="13"/>
    </row>
    <row r="666" spans="2:7" x14ac:dyDescent="0.35">
      <c r="B666" s="1"/>
      <c r="G666" s="13"/>
    </row>
    <row r="667" spans="2:7" x14ac:dyDescent="0.35">
      <c r="B667" s="43"/>
      <c r="G667" s="13"/>
    </row>
    <row r="668" spans="2:7" x14ac:dyDescent="0.35">
      <c r="B668" s="43"/>
      <c r="G668" s="13"/>
    </row>
    <row r="669" spans="2:7" x14ac:dyDescent="0.35">
      <c r="B669" s="43"/>
      <c r="G669" s="13"/>
    </row>
    <row r="670" spans="2:7" x14ac:dyDescent="0.35">
      <c r="B670" s="43"/>
      <c r="G670" s="13"/>
    </row>
    <row r="671" spans="2:7" x14ac:dyDescent="0.35">
      <c r="B671" s="43"/>
      <c r="G671" s="13"/>
    </row>
    <row r="672" spans="2:7" x14ac:dyDescent="0.35">
      <c r="B672" s="43"/>
      <c r="G672" s="13"/>
    </row>
    <row r="673" spans="2:7" x14ac:dyDescent="0.35">
      <c r="B673" s="43"/>
      <c r="G673" s="13"/>
    </row>
    <row r="674" spans="2:7" x14ac:dyDescent="0.35">
      <c r="B674" s="43"/>
      <c r="G674" s="13"/>
    </row>
    <row r="675" spans="2:7" x14ac:dyDescent="0.35">
      <c r="B675" s="43"/>
      <c r="G675" s="13"/>
    </row>
    <row r="676" spans="2:7" x14ac:dyDescent="0.35">
      <c r="B676" s="43"/>
      <c r="G676" s="13"/>
    </row>
    <row r="677" spans="2:7" x14ac:dyDescent="0.35">
      <c r="B677" s="43"/>
      <c r="G677" s="13"/>
    </row>
    <row r="678" spans="2:7" x14ac:dyDescent="0.35">
      <c r="B678" s="43"/>
      <c r="G678" s="13"/>
    </row>
    <row r="679" spans="2:7" x14ac:dyDescent="0.35">
      <c r="B679" s="43"/>
      <c r="G679" s="13"/>
    </row>
    <row r="680" spans="2:7" x14ac:dyDescent="0.35">
      <c r="B680" s="43"/>
      <c r="G680" s="13"/>
    </row>
    <row r="681" spans="2:7" x14ac:dyDescent="0.35">
      <c r="B681" s="43"/>
      <c r="G681" s="13"/>
    </row>
    <row r="682" spans="2:7" x14ac:dyDescent="0.35">
      <c r="B682" s="43"/>
      <c r="G682" s="13"/>
    </row>
    <row r="683" spans="2:7" x14ac:dyDescent="0.35">
      <c r="B683" s="43"/>
      <c r="G683" s="13"/>
    </row>
    <row r="684" spans="2:7" x14ac:dyDescent="0.35">
      <c r="B684" s="43"/>
      <c r="G684" s="13"/>
    </row>
    <row r="685" spans="2:7" x14ac:dyDescent="0.35">
      <c r="B685" s="43"/>
      <c r="G685" s="13"/>
    </row>
    <row r="686" spans="2:7" x14ac:dyDescent="0.35">
      <c r="B686" s="43"/>
      <c r="G686" s="13"/>
    </row>
    <row r="687" spans="2:7" x14ac:dyDescent="0.35">
      <c r="B687" s="43"/>
      <c r="G687" s="13"/>
    </row>
    <row r="688" spans="2:7" x14ac:dyDescent="0.35">
      <c r="B688" s="43"/>
      <c r="G688" s="13"/>
    </row>
    <row r="689" spans="2:7" x14ac:dyDescent="0.35">
      <c r="B689" s="43"/>
      <c r="G689" s="13"/>
    </row>
    <row r="690" spans="2:7" x14ac:dyDescent="0.35">
      <c r="B690" s="43"/>
      <c r="G690" s="13"/>
    </row>
    <row r="691" spans="2:7" x14ac:dyDescent="0.35">
      <c r="B691" s="43"/>
      <c r="G691" s="13"/>
    </row>
    <row r="692" spans="2:7" x14ac:dyDescent="0.35">
      <c r="B692" s="43"/>
      <c r="G692" s="13"/>
    </row>
    <row r="693" spans="2:7" x14ac:dyDescent="0.35">
      <c r="B693" s="43"/>
      <c r="G693" s="13"/>
    </row>
    <row r="694" spans="2:7" x14ac:dyDescent="0.35">
      <c r="B694" s="43"/>
      <c r="G694" s="13"/>
    </row>
    <row r="695" spans="2:7" x14ac:dyDescent="0.35">
      <c r="B695" s="43"/>
      <c r="G695" s="13"/>
    </row>
    <row r="696" spans="2:7" x14ac:dyDescent="0.35">
      <c r="B696" s="43"/>
      <c r="G696" s="13"/>
    </row>
    <row r="697" spans="2:7" x14ac:dyDescent="0.35">
      <c r="B697" s="43"/>
      <c r="G697" s="13"/>
    </row>
    <row r="698" spans="2:7" x14ac:dyDescent="0.35">
      <c r="B698" s="43"/>
      <c r="G698" s="13"/>
    </row>
    <row r="699" spans="2:7" x14ac:dyDescent="0.35">
      <c r="B699" s="43"/>
      <c r="G699" s="13"/>
    </row>
    <row r="700" spans="2:7" x14ac:dyDescent="0.35">
      <c r="B700" s="43"/>
      <c r="G700" s="13"/>
    </row>
    <row r="701" spans="2:7" x14ac:dyDescent="0.35">
      <c r="B701" s="43"/>
      <c r="G701" s="13"/>
    </row>
    <row r="702" spans="2:7" x14ac:dyDescent="0.35">
      <c r="B702" s="43"/>
      <c r="G702" s="13"/>
    </row>
    <row r="703" spans="2:7" x14ac:dyDescent="0.35">
      <c r="B703" s="43"/>
      <c r="G703" s="13"/>
    </row>
    <row r="704" spans="2:7" x14ac:dyDescent="0.35">
      <c r="B704" s="43"/>
      <c r="G704" s="13"/>
    </row>
    <row r="705" spans="2:7" x14ac:dyDescent="0.35">
      <c r="B705" s="43"/>
      <c r="G705" s="13"/>
    </row>
    <row r="706" spans="2:7" x14ac:dyDescent="0.35">
      <c r="B706" s="43"/>
      <c r="G706" s="13"/>
    </row>
    <row r="707" spans="2:7" x14ac:dyDescent="0.35">
      <c r="B707" s="43"/>
      <c r="G707" s="13"/>
    </row>
    <row r="708" spans="2:7" x14ac:dyDescent="0.35">
      <c r="B708" s="43"/>
      <c r="G708" s="13"/>
    </row>
    <row r="709" spans="2:7" x14ac:dyDescent="0.35">
      <c r="B709" s="43"/>
      <c r="G709" s="13"/>
    </row>
    <row r="710" spans="2:7" x14ac:dyDescent="0.35">
      <c r="B710" s="43"/>
      <c r="G710" s="13"/>
    </row>
    <row r="711" spans="2:7" x14ac:dyDescent="0.35">
      <c r="B711" s="1"/>
      <c r="G711" s="13"/>
    </row>
    <row r="712" spans="2:7" x14ac:dyDescent="0.35">
      <c r="B712" s="1"/>
      <c r="G712" s="13"/>
    </row>
    <row r="713" spans="2:7" x14ac:dyDescent="0.35">
      <c r="B713" s="43"/>
      <c r="G713" s="13"/>
    </row>
    <row r="714" spans="2:7" x14ac:dyDescent="0.35">
      <c r="B714" s="28"/>
      <c r="G714" s="13"/>
    </row>
    <row r="715" spans="2:7" x14ac:dyDescent="0.35">
      <c r="B715" s="43"/>
      <c r="G715" s="13"/>
    </row>
    <row r="716" spans="2:7" x14ac:dyDescent="0.35">
      <c r="B716" s="28"/>
      <c r="G716" s="13"/>
    </row>
    <row r="717" spans="2:7" x14ac:dyDescent="0.35">
      <c r="B717" s="43"/>
      <c r="G717" s="13"/>
    </row>
    <row r="718" spans="2:7" x14ac:dyDescent="0.35">
      <c r="B718" s="28"/>
      <c r="G718" s="13"/>
    </row>
    <row r="719" spans="2:7" x14ac:dyDescent="0.35">
      <c r="B719" s="43"/>
      <c r="G719" s="13"/>
    </row>
    <row r="720" spans="2:7" x14ac:dyDescent="0.35">
      <c r="B720" s="28"/>
      <c r="G720" s="13"/>
    </row>
    <row r="721" spans="2:7" x14ac:dyDescent="0.35">
      <c r="B721" s="43"/>
      <c r="G721" s="13"/>
    </row>
    <row r="722" spans="2:7" x14ac:dyDescent="0.35">
      <c r="B722" s="1"/>
      <c r="G722" s="13"/>
    </row>
    <row r="723" spans="2:7" x14ac:dyDescent="0.35">
      <c r="B723" s="43"/>
      <c r="G723" s="13"/>
    </row>
    <row r="724" spans="2:7" x14ac:dyDescent="0.35">
      <c r="B724" s="43"/>
      <c r="G724" s="13"/>
    </row>
    <row r="725" spans="2:7" x14ac:dyDescent="0.35">
      <c r="B725" s="43"/>
      <c r="G725" s="13"/>
    </row>
    <row r="726" spans="2:7" x14ac:dyDescent="0.35">
      <c r="B726" s="43"/>
      <c r="G726" s="13"/>
    </row>
    <row r="727" spans="2:7" x14ac:dyDescent="0.35">
      <c r="B727" s="43"/>
      <c r="G727" s="13"/>
    </row>
    <row r="728" spans="2:7" x14ac:dyDescent="0.35">
      <c r="B728" s="43"/>
      <c r="G728" s="13"/>
    </row>
    <row r="729" spans="2:7" x14ac:dyDescent="0.35">
      <c r="B729" s="43"/>
      <c r="G729" s="13"/>
    </row>
    <row r="730" spans="2:7" x14ac:dyDescent="0.35">
      <c r="B730" s="43"/>
      <c r="G730" s="13"/>
    </row>
    <row r="731" spans="2:7" x14ac:dyDescent="0.35">
      <c r="B731" s="43"/>
      <c r="G731" s="13"/>
    </row>
    <row r="732" spans="2:7" x14ac:dyDescent="0.35">
      <c r="B732" s="43"/>
      <c r="G732" s="13"/>
    </row>
    <row r="733" spans="2:7" x14ac:dyDescent="0.35">
      <c r="B733" s="43"/>
      <c r="G733" s="13"/>
    </row>
    <row r="734" spans="2:7" x14ac:dyDescent="0.35">
      <c r="B734" s="28"/>
      <c r="G734" s="13"/>
    </row>
    <row r="735" spans="2:7" x14ac:dyDescent="0.35">
      <c r="B735" s="43"/>
      <c r="G735" s="13"/>
    </row>
    <row r="736" spans="2:7" x14ac:dyDescent="0.35">
      <c r="B736" s="43"/>
      <c r="G736" s="13"/>
    </row>
    <row r="737" spans="2:7" x14ac:dyDescent="0.35">
      <c r="B737" s="43"/>
      <c r="G737" s="13"/>
    </row>
    <row r="738" spans="2:7" x14ac:dyDescent="0.35">
      <c r="B738" s="43"/>
      <c r="G738" s="13"/>
    </row>
    <row r="739" spans="2:7" x14ac:dyDescent="0.35">
      <c r="B739" s="43"/>
      <c r="G739" s="13"/>
    </row>
    <row r="740" spans="2:7" x14ac:dyDescent="0.35">
      <c r="B740" s="43"/>
      <c r="G740" s="13"/>
    </row>
    <row r="741" spans="2:7" x14ac:dyDescent="0.35">
      <c r="B741" s="43"/>
      <c r="G741" s="13"/>
    </row>
    <row r="742" spans="2:7" x14ac:dyDescent="0.35">
      <c r="B742" s="43"/>
      <c r="G742" s="13"/>
    </row>
    <row r="743" spans="2:7" x14ac:dyDescent="0.35">
      <c r="B743" s="43"/>
      <c r="G743" s="13"/>
    </row>
    <row r="744" spans="2:7" x14ac:dyDescent="0.35">
      <c r="B744" s="43"/>
      <c r="G744" s="13"/>
    </row>
    <row r="745" spans="2:7" x14ac:dyDescent="0.35">
      <c r="B745" s="43"/>
      <c r="G745" s="13"/>
    </row>
    <row r="746" spans="2:7" x14ac:dyDescent="0.35">
      <c r="B746" s="28"/>
      <c r="G746" s="13"/>
    </row>
    <row r="747" spans="2:7" x14ac:dyDescent="0.35">
      <c r="B747" s="43"/>
      <c r="G747" s="13"/>
    </row>
    <row r="748" spans="2:7" x14ac:dyDescent="0.35">
      <c r="B748" s="43"/>
      <c r="G748" s="13"/>
    </row>
    <row r="749" spans="2:7" x14ac:dyDescent="0.35">
      <c r="B749" s="43"/>
      <c r="G749" s="13"/>
    </row>
    <row r="750" spans="2:7" x14ac:dyDescent="0.35">
      <c r="B750" s="43"/>
      <c r="G750" s="13"/>
    </row>
    <row r="751" spans="2:7" x14ac:dyDescent="0.35">
      <c r="B751" s="43"/>
      <c r="G751" s="13"/>
    </row>
    <row r="752" spans="2:7" x14ac:dyDescent="0.35">
      <c r="B752" s="43"/>
      <c r="G752" s="13"/>
    </row>
    <row r="753" spans="2:7" x14ac:dyDescent="0.35">
      <c r="B753" s="43"/>
      <c r="G753" s="13"/>
    </row>
    <row r="754" spans="2:7" x14ac:dyDescent="0.35">
      <c r="B754" s="43"/>
      <c r="G754" s="13"/>
    </row>
    <row r="755" spans="2:7" x14ac:dyDescent="0.35">
      <c r="B755" s="43"/>
      <c r="G755" s="13"/>
    </row>
    <row r="756" spans="2:7" x14ac:dyDescent="0.35">
      <c r="B756" s="43"/>
      <c r="G756" s="13"/>
    </row>
    <row r="757" spans="2:7" x14ac:dyDescent="0.35">
      <c r="B757" s="43"/>
      <c r="G757" s="13"/>
    </row>
    <row r="758" spans="2:7" x14ac:dyDescent="0.35">
      <c r="B758" s="28"/>
      <c r="G758" s="13"/>
    </row>
    <row r="759" spans="2:7" x14ac:dyDescent="0.35">
      <c r="B759" s="43"/>
      <c r="G759" s="13"/>
    </row>
    <row r="760" spans="2:7" x14ac:dyDescent="0.35">
      <c r="B760" s="43"/>
      <c r="G760" s="13"/>
    </row>
    <row r="761" spans="2:7" x14ac:dyDescent="0.35">
      <c r="B761" s="43"/>
      <c r="G761" s="13"/>
    </row>
    <row r="762" spans="2:7" x14ac:dyDescent="0.35">
      <c r="B762" s="43"/>
      <c r="G762" s="13"/>
    </row>
    <row r="763" spans="2:7" x14ac:dyDescent="0.35">
      <c r="B763" s="43"/>
      <c r="G763" s="13"/>
    </row>
    <row r="764" spans="2:7" x14ac:dyDescent="0.35">
      <c r="B764" s="43"/>
      <c r="G764" s="13"/>
    </row>
    <row r="765" spans="2:7" x14ac:dyDescent="0.35">
      <c r="B765" s="43"/>
      <c r="G765" s="13"/>
    </row>
    <row r="766" spans="2:7" x14ac:dyDescent="0.35">
      <c r="B766" s="43"/>
      <c r="G766" s="13"/>
    </row>
    <row r="767" spans="2:7" x14ac:dyDescent="0.35">
      <c r="B767" s="43"/>
      <c r="G767" s="13"/>
    </row>
    <row r="768" spans="2:7" x14ac:dyDescent="0.35">
      <c r="B768" s="43"/>
      <c r="G768" s="13"/>
    </row>
    <row r="769" spans="2:7" x14ac:dyDescent="0.35">
      <c r="B769" s="43"/>
      <c r="G769" s="13"/>
    </row>
    <row r="770" spans="2:7" x14ac:dyDescent="0.35">
      <c r="B770" s="28"/>
      <c r="G770" s="13"/>
    </row>
    <row r="771" spans="2:7" x14ac:dyDescent="0.35">
      <c r="B771" s="43"/>
      <c r="G771" s="13"/>
    </row>
    <row r="772" spans="2:7" x14ac:dyDescent="0.35">
      <c r="B772" s="43"/>
      <c r="G772" s="13"/>
    </row>
    <row r="773" spans="2:7" x14ac:dyDescent="0.35">
      <c r="B773" s="43"/>
      <c r="G773" s="13"/>
    </row>
    <row r="774" spans="2:7" x14ac:dyDescent="0.35">
      <c r="B774" s="43"/>
      <c r="G774" s="13"/>
    </row>
    <row r="775" spans="2:7" x14ac:dyDescent="0.35">
      <c r="B775" s="43"/>
      <c r="G775" s="13"/>
    </row>
    <row r="776" spans="2:7" x14ac:dyDescent="0.35">
      <c r="B776" s="43"/>
      <c r="G776" s="13"/>
    </row>
    <row r="777" spans="2:7" x14ac:dyDescent="0.35">
      <c r="B777" s="43"/>
      <c r="G777" s="13"/>
    </row>
    <row r="778" spans="2:7" x14ac:dyDescent="0.35">
      <c r="B778" s="1"/>
      <c r="G778" s="13"/>
    </row>
    <row r="779" spans="2:7" x14ac:dyDescent="0.35">
      <c r="B779" s="43"/>
      <c r="G779" s="13"/>
    </row>
    <row r="780" spans="2:7" x14ac:dyDescent="0.35">
      <c r="B780" s="43"/>
      <c r="G780" s="13"/>
    </row>
    <row r="781" spans="2:7" x14ac:dyDescent="0.35">
      <c r="B781" s="43"/>
      <c r="G781" s="13"/>
    </row>
    <row r="782" spans="2:7" x14ac:dyDescent="0.35">
      <c r="B782" s="43"/>
      <c r="G782" s="13"/>
    </row>
    <row r="783" spans="2:7" x14ac:dyDescent="0.35">
      <c r="B783" s="43"/>
      <c r="G783" s="13"/>
    </row>
    <row r="784" spans="2:7" x14ac:dyDescent="0.35">
      <c r="B784" s="43"/>
      <c r="G784" s="13"/>
    </row>
    <row r="785" spans="2:7" x14ac:dyDescent="0.35">
      <c r="B785" s="43"/>
      <c r="G785" s="13"/>
    </row>
    <row r="786" spans="2:7" x14ac:dyDescent="0.35">
      <c r="B786" s="43"/>
      <c r="G786" s="13"/>
    </row>
    <row r="787" spans="2:7" x14ac:dyDescent="0.35">
      <c r="B787" s="43"/>
      <c r="G787" s="13"/>
    </row>
    <row r="788" spans="2:7" x14ac:dyDescent="0.35">
      <c r="B788" s="1"/>
      <c r="G788" s="13"/>
    </row>
    <row r="789" spans="2:7" x14ac:dyDescent="0.35">
      <c r="B789" s="43"/>
      <c r="G789" s="13"/>
    </row>
    <row r="790" spans="2:7" x14ac:dyDescent="0.35">
      <c r="B790" s="28"/>
      <c r="G790" s="13"/>
    </row>
    <row r="791" spans="2:7" x14ac:dyDescent="0.35">
      <c r="B791" s="43"/>
      <c r="G791" s="13"/>
    </row>
    <row r="792" spans="2:7" x14ac:dyDescent="0.35">
      <c r="B792" s="43"/>
      <c r="G792" s="13"/>
    </row>
    <row r="793" spans="2:7" x14ac:dyDescent="0.35">
      <c r="B793" s="43"/>
      <c r="G793" s="13"/>
    </row>
    <row r="794" spans="2:7" x14ac:dyDescent="0.35">
      <c r="B794" s="43"/>
      <c r="G794" s="13"/>
    </row>
    <row r="795" spans="2:7" x14ac:dyDescent="0.35">
      <c r="B795" s="43"/>
      <c r="G795" s="13"/>
    </row>
    <row r="796" spans="2:7" x14ac:dyDescent="0.35">
      <c r="B796" s="43"/>
      <c r="G796" s="13"/>
    </row>
    <row r="797" spans="2:7" x14ac:dyDescent="0.35">
      <c r="B797" s="43"/>
      <c r="G797" s="13"/>
    </row>
    <row r="798" spans="2:7" x14ac:dyDescent="0.35">
      <c r="B798" s="43"/>
      <c r="G798" s="13"/>
    </row>
    <row r="799" spans="2:7" x14ac:dyDescent="0.35">
      <c r="B799" s="43"/>
      <c r="G799" s="13"/>
    </row>
    <row r="800" spans="2:7" x14ac:dyDescent="0.35">
      <c r="B800" s="43"/>
      <c r="G800" s="13"/>
    </row>
    <row r="801" spans="2:7" x14ac:dyDescent="0.35">
      <c r="B801" s="43"/>
      <c r="G801" s="13"/>
    </row>
    <row r="802" spans="2:7" x14ac:dyDescent="0.35">
      <c r="B802" s="28"/>
      <c r="G802" s="13"/>
    </row>
    <row r="803" spans="2:7" x14ac:dyDescent="0.35">
      <c r="B803" s="43"/>
      <c r="G803" s="13"/>
    </row>
    <row r="804" spans="2:7" x14ac:dyDescent="0.35">
      <c r="B804" s="43"/>
      <c r="G804" s="13"/>
    </row>
    <row r="805" spans="2:7" x14ac:dyDescent="0.35">
      <c r="B805" s="43"/>
      <c r="G805" s="13"/>
    </row>
    <row r="806" spans="2:7" x14ac:dyDescent="0.35">
      <c r="B806" s="43"/>
      <c r="G806" s="13"/>
    </row>
    <row r="807" spans="2:7" x14ac:dyDescent="0.35">
      <c r="B807" s="43"/>
      <c r="G807" s="13"/>
    </row>
    <row r="808" spans="2:7" x14ac:dyDescent="0.35">
      <c r="B808" s="43"/>
      <c r="G808" s="13"/>
    </row>
    <row r="809" spans="2:7" x14ac:dyDescent="0.35">
      <c r="B809" s="43"/>
      <c r="G809" s="13"/>
    </row>
    <row r="810" spans="2:7" x14ac:dyDescent="0.35">
      <c r="B810" s="43"/>
      <c r="G810" s="13"/>
    </row>
    <row r="811" spans="2:7" x14ac:dyDescent="0.35">
      <c r="B811" s="43"/>
      <c r="G811" s="13"/>
    </row>
    <row r="812" spans="2:7" x14ac:dyDescent="0.35">
      <c r="B812" s="43"/>
      <c r="G812" s="13"/>
    </row>
    <row r="813" spans="2:7" x14ac:dyDescent="0.35">
      <c r="B813" s="43"/>
      <c r="G813" s="13"/>
    </row>
    <row r="814" spans="2:7" x14ac:dyDescent="0.35">
      <c r="B814" s="28"/>
      <c r="G814" s="13"/>
    </row>
    <row r="815" spans="2:7" x14ac:dyDescent="0.35">
      <c r="B815" s="43"/>
      <c r="G815" s="13"/>
    </row>
    <row r="816" spans="2:7" x14ac:dyDescent="0.35">
      <c r="B816" s="43"/>
      <c r="G816" s="13"/>
    </row>
    <row r="817" spans="2:7" x14ac:dyDescent="0.35">
      <c r="B817" s="43"/>
      <c r="G817" s="13"/>
    </row>
    <row r="818" spans="2:7" x14ac:dyDescent="0.35">
      <c r="B818" s="43"/>
      <c r="G818" s="13"/>
    </row>
    <row r="819" spans="2:7" x14ac:dyDescent="0.35">
      <c r="B819" s="43"/>
      <c r="G819" s="13"/>
    </row>
    <row r="820" spans="2:7" x14ac:dyDescent="0.35">
      <c r="B820" s="43"/>
      <c r="G820" s="13"/>
    </row>
    <row r="821" spans="2:7" x14ac:dyDescent="0.35">
      <c r="B821" s="43"/>
      <c r="G821" s="13"/>
    </row>
    <row r="822" spans="2:7" x14ac:dyDescent="0.35">
      <c r="B822" s="43"/>
      <c r="G822" s="13"/>
    </row>
    <row r="823" spans="2:7" x14ac:dyDescent="0.35">
      <c r="B823" s="43"/>
      <c r="G823" s="13"/>
    </row>
    <row r="824" spans="2:7" x14ac:dyDescent="0.35">
      <c r="B824" s="43"/>
      <c r="G824" s="13"/>
    </row>
    <row r="825" spans="2:7" x14ac:dyDescent="0.35">
      <c r="B825" s="43"/>
      <c r="G825" s="13"/>
    </row>
    <row r="826" spans="2:7" x14ac:dyDescent="0.35">
      <c r="B826" s="28"/>
      <c r="G826" s="13"/>
    </row>
    <row r="827" spans="2:7" x14ac:dyDescent="0.35">
      <c r="B827" s="43"/>
      <c r="G827" s="13"/>
    </row>
    <row r="828" spans="2:7" x14ac:dyDescent="0.35">
      <c r="B828" s="43"/>
      <c r="G828" s="13"/>
    </row>
    <row r="829" spans="2:7" x14ac:dyDescent="0.35">
      <c r="B829" s="43"/>
      <c r="G829" s="13"/>
    </row>
    <row r="830" spans="2:7" x14ac:dyDescent="0.35">
      <c r="B830" s="43"/>
      <c r="G830" s="13"/>
    </row>
    <row r="831" spans="2:7" x14ac:dyDescent="0.35">
      <c r="B831" s="1"/>
      <c r="G831" s="13"/>
    </row>
    <row r="832" spans="2:7" x14ac:dyDescent="0.35">
      <c r="B832" s="43"/>
      <c r="G832" s="13"/>
    </row>
    <row r="833" spans="2:7" x14ac:dyDescent="0.35">
      <c r="B833" s="43"/>
      <c r="G833" s="13"/>
    </row>
    <row r="834" spans="2:7" x14ac:dyDescent="0.35">
      <c r="B834" s="1"/>
      <c r="G834" s="13"/>
    </row>
    <row r="835" spans="2:7" x14ac:dyDescent="0.35">
      <c r="B835" s="43"/>
      <c r="G835" s="13"/>
    </row>
    <row r="836" spans="2:7" x14ac:dyDescent="0.35">
      <c r="B836" s="43"/>
      <c r="G836" s="13"/>
    </row>
    <row r="837" spans="2:7" x14ac:dyDescent="0.35">
      <c r="B837" s="43"/>
      <c r="G837" s="13"/>
    </row>
    <row r="838" spans="2:7" x14ac:dyDescent="0.35">
      <c r="B838" s="43"/>
      <c r="G838" s="13"/>
    </row>
    <row r="839" spans="2:7" x14ac:dyDescent="0.35">
      <c r="B839" s="43"/>
      <c r="G839" s="13"/>
    </row>
    <row r="840" spans="2:7" x14ac:dyDescent="0.35">
      <c r="B840" s="43"/>
      <c r="G840" s="13"/>
    </row>
    <row r="841" spans="2:7" x14ac:dyDescent="0.35">
      <c r="B841" s="43"/>
      <c r="G841" s="13"/>
    </row>
    <row r="842" spans="2:7" x14ac:dyDescent="0.35">
      <c r="B842" s="43"/>
      <c r="G842" s="13"/>
    </row>
    <row r="843" spans="2:7" x14ac:dyDescent="0.35">
      <c r="B843" s="43"/>
      <c r="G843" s="13"/>
    </row>
    <row r="844" spans="2:7" x14ac:dyDescent="0.35">
      <c r="B844" s="43"/>
      <c r="G844" s="13"/>
    </row>
    <row r="845" spans="2:7" x14ac:dyDescent="0.35">
      <c r="B845" s="43"/>
      <c r="G845" s="13"/>
    </row>
    <row r="846" spans="2:7" x14ac:dyDescent="0.35">
      <c r="B846" s="28"/>
      <c r="G846" s="13"/>
    </row>
    <row r="847" spans="2:7" x14ac:dyDescent="0.35">
      <c r="B847" s="43"/>
      <c r="G847" s="13"/>
    </row>
    <row r="848" spans="2:7" x14ac:dyDescent="0.35">
      <c r="B848" s="43"/>
      <c r="G848" s="13"/>
    </row>
    <row r="849" spans="2:7" x14ac:dyDescent="0.35">
      <c r="B849" s="43"/>
      <c r="G849" s="13"/>
    </row>
    <row r="850" spans="2:7" x14ac:dyDescent="0.35">
      <c r="B850" s="43"/>
      <c r="G850" s="13"/>
    </row>
    <row r="851" spans="2:7" x14ac:dyDescent="0.35">
      <c r="B851" s="43"/>
      <c r="G851" s="13"/>
    </row>
    <row r="852" spans="2:7" x14ac:dyDescent="0.35">
      <c r="B852" s="43"/>
      <c r="G852" s="13"/>
    </row>
    <row r="853" spans="2:7" x14ac:dyDescent="0.35">
      <c r="B853" s="43"/>
      <c r="G853" s="13"/>
    </row>
    <row r="854" spans="2:7" x14ac:dyDescent="0.35">
      <c r="B854" s="43"/>
      <c r="G854" s="13"/>
    </row>
    <row r="855" spans="2:7" x14ac:dyDescent="0.35">
      <c r="B855" s="43"/>
      <c r="G855" s="13"/>
    </row>
    <row r="856" spans="2:7" x14ac:dyDescent="0.35">
      <c r="B856" s="43"/>
      <c r="G856" s="13"/>
    </row>
    <row r="857" spans="2:7" x14ac:dyDescent="0.35">
      <c r="B857" s="43"/>
      <c r="G857" s="13"/>
    </row>
    <row r="858" spans="2:7" x14ac:dyDescent="0.35">
      <c r="B858" s="28"/>
      <c r="G858" s="13"/>
    </row>
    <row r="859" spans="2:7" x14ac:dyDescent="0.35">
      <c r="B859" s="43"/>
      <c r="G859" s="13"/>
    </row>
    <row r="860" spans="2:7" x14ac:dyDescent="0.35">
      <c r="B860" s="43"/>
      <c r="G860" s="13"/>
    </row>
    <row r="861" spans="2:7" x14ac:dyDescent="0.35">
      <c r="B861" s="43"/>
      <c r="G861" s="13"/>
    </row>
    <row r="862" spans="2:7" x14ac:dyDescent="0.35">
      <c r="B862" s="43"/>
      <c r="G862" s="13"/>
    </row>
    <row r="863" spans="2:7" x14ac:dyDescent="0.35">
      <c r="B863" s="43"/>
      <c r="G863" s="13"/>
    </row>
    <row r="864" spans="2:7" x14ac:dyDescent="0.35">
      <c r="B864" s="43"/>
      <c r="G864" s="13"/>
    </row>
    <row r="865" spans="2:7" x14ac:dyDescent="0.35">
      <c r="B865" s="43"/>
      <c r="G865" s="13"/>
    </row>
    <row r="866" spans="2:7" x14ac:dyDescent="0.35">
      <c r="B866" s="43"/>
      <c r="G866" s="13"/>
    </row>
    <row r="867" spans="2:7" x14ac:dyDescent="0.35">
      <c r="B867" s="43"/>
      <c r="G867" s="13"/>
    </row>
    <row r="868" spans="2:7" x14ac:dyDescent="0.35">
      <c r="B868" s="43"/>
      <c r="G868" s="13"/>
    </row>
    <row r="869" spans="2:7" x14ac:dyDescent="0.35">
      <c r="B869" s="43"/>
      <c r="G869" s="13"/>
    </row>
    <row r="870" spans="2:7" x14ac:dyDescent="0.35">
      <c r="B870" s="28"/>
      <c r="G870" s="13"/>
    </row>
    <row r="871" spans="2:7" x14ac:dyDescent="0.35">
      <c r="B871" s="43"/>
      <c r="G871" s="13"/>
    </row>
    <row r="872" spans="2:7" x14ac:dyDescent="0.35">
      <c r="B872" s="43"/>
      <c r="G872" s="13"/>
    </row>
    <row r="873" spans="2:7" x14ac:dyDescent="0.35">
      <c r="B873" s="43"/>
      <c r="G873" s="13"/>
    </row>
    <row r="874" spans="2:7" x14ac:dyDescent="0.35">
      <c r="B874" s="43"/>
      <c r="G874" s="13"/>
    </row>
    <row r="875" spans="2:7" x14ac:dyDescent="0.35">
      <c r="B875" s="43"/>
      <c r="G875" s="13"/>
    </row>
    <row r="876" spans="2:7" x14ac:dyDescent="0.35">
      <c r="B876" s="43"/>
      <c r="G876" s="13"/>
    </row>
    <row r="877" spans="2:7" x14ac:dyDescent="0.35">
      <c r="B877" s="43"/>
      <c r="G877" s="13"/>
    </row>
    <row r="878" spans="2:7" x14ac:dyDescent="0.35">
      <c r="B878" s="43"/>
      <c r="G878" s="13"/>
    </row>
    <row r="879" spans="2:7" x14ac:dyDescent="0.35">
      <c r="B879" s="43"/>
      <c r="G879" s="13"/>
    </row>
    <row r="880" spans="2:7" x14ac:dyDescent="0.35">
      <c r="B880" s="43"/>
      <c r="G880" s="13"/>
    </row>
    <row r="881" spans="2:7" x14ac:dyDescent="0.35">
      <c r="B881" s="43"/>
      <c r="G881" s="13"/>
    </row>
    <row r="882" spans="2:7" x14ac:dyDescent="0.35">
      <c r="B882" s="28"/>
      <c r="G882" s="13"/>
    </row>
    <row r="883" spans="2:7" x14ac:dyDescent="0.35">
      <c r="B883" s="43"/>
      <c r="G883" s="13"/>
    </row>
    <row r="884" spans="2:7" x14ac:dyDescent="0.35">
      <c r="B884" s="43"/>
      <c r="G884" s="13"/>
    </row>
    <row r="885" spans="2:7" x14ac:dyDescent="0.35">
      <c r="B885" s="43"/>
      <c r="G885" s="13"/>
    </row>
    <row r="886" spans="2:7" x14ac:dyDescent="0.35">
      <c r="B886" s="43"/>
      <c r="G886" s="13"/>
    </row>
    <row r="887" spans="2:7" x14ac:dyDescent="0.35">
      <c r="B887" s="1"/>
      <c r="G887" s="13"/>
    </row>
    <row r="888" spans="2:7" x14ac:dyDescent="0.35">
      <c r="B888" s="43"/>
      <c r="G888" s="13"/>
    </row>
    <row r="889" spans="2:7" x14ac:dyDescent="0.35">
      <c r="B889" s="43"/>
      <c r="G889" s="13"/>
    </row>
    <row r="890" spans="2:7" x14ac:dyDescent="0.35">
      <c r="B890" s="1"/>
      <c r="G890" s="13"/>
    </row>
    <row r="891" spans="2:7" x14ac:dyDescent="0.35">
      <c r="B891" s="43"/>
      <c r="G891" s="13"/>
    </row>
    <row r="892" spans="2:7" x14ac:dyDescent="0.35">
      <c r="B892" s="43"/>
      <c r="G892" s="13"/>
    </row>
    <row r="893" spans="2:7" x14ac:dyDescent="0.35">
      <c r="B893" s="43"/>
      <c r="G893" s="13"/>
    </row>
    <row r="894" spans="2:7" x14ac:dyDescent="0.35">
      <c r="B894" s="43"/>
      <c r="G894" s="13"/>
    </row>
    <row r="895" spans="2:7" x14ac:dyDescent="0.35">
      <c r="B895" s="43"/>
      <c r="G895" s="13"/>
    </row>
    <row r="896" spans="2:7" x14ac:dyDescent="0.35">
      <c r="B896" s="43"/>
      <c r="G896" s="13"/>
    </row>
    <row r="897" spans="2:7" x14ac:dyDescent="0.35">
      <c r="B897" s="43"/>
      <c r="G897" s="13"/>
    </row>
    <row r="898" spans="2:7" x14ac:dyDescent="0.35">
      <c r="B898" s="43"/>
      <c r="G898" s="13"/>
    </row>
    <row r="899" spans="2:7" x14ac:dyDescent="0.35">
      <c r="B899" s="43"/>
      <c r="G899" s="13"/>
    </row>
    <row r="900" spans="2:7" x14ac:dyDescent="0.35">
      <c r="B900" s="43"/>
      <c r="G900" s="13"/>
    </row>
    <row r="901" spans="2:7" x14ac:dyDescent="0.35">
      <c r="B901" s="43"/>
      <c r="G901" s="13"/>
    </row>
    <row r="902" spans="2:7" x14ac:dyDescent="0.35">
      <c r="B902" s="28"/>
      <c r="G902" s="13"/>
    </row>
    <row r="903" spans="2:7" x14ac:dyDescent="0.35">
      <c r="B903" s="43"/>
      <c r="G903" s="13"/>
    </row>
    <row r="904" spans="2:7" x14ac:dyDescent="0.35">
      <c r="B904" s="43"/>
      <c r="G904" s="13"/>
    </row>
    <row r="905" spans="2:7" x14ac:dyDescent="0.35">
      <c r="B905" s="1"/>
      <c r="G905" s="13"/>
    </row>
    <row r="906" spans="2:7" x14ac:dyDescent="0.35">
      <c r="B906" s="43"/>
      <c r="G906" s="13"/>
    </row>
    <row r="907" spans="2:7" x14ac:dyDescent="0.35">
      <c r="B907" s="43"/>
      <c r="G907" s="13"/>
    </row>
    <row r="908" spans="2:7" x14ac:dyDescent="0.35">
      <c r="B908" s="43"/>
      <c r="G908" s="13"/>
    </row>
    <row r="909" spans="2:7" x14ac:dyDescent="0.35">
      <c r="B909" s="43"/>
      <c r="G909" s="13"/>
    </row>
    <row r="910" spans="2:7" x14ac:dyDescent="0.35">
      <c r="B910" s="43"/>
      <c r="G910" s="13"/>
    </row>
    <row r="911" spans="2:7" x14ac:dyDescent="0.35">
      <c r="B911" s="43"/>
      <c r="G911" s="13"/>
    </row>
    <row r="912" spans="2:7" x14ac:dyDescent="0.35">
      <c r="B912" s="43"/>
      <c r="G912" s="13"/>
    </row>
    <row r="913" spans="2:7" x14ac:dyDescent="0.35">
      <c r="B913" s="43"/>
      <c r="G913" s="13"/>
    </row>
    <row r="914" spans="2:7" x14ac:dyDescent="0.35">
      <c r="B914" s="28"/>
      <c r="G914" s="13"/>
    </row>
    <row r="915" spans="2:7" x14ac:dyDescent="0.35">
      <c r="B915" s="43"/>
      <c r="G915" s="13"/>
    </row>
    <row r="916" spans="2:7" x14ac:dyDescent="0.35">
      <c r="B916" s="43"/>
      <c r="G916" s="13"/>
    </row>
    <row r="917" spans="2:7" x14ac:dyDescent="0.35">
      <c r="B917" s="43"/>
      <c r="G917" s="13"/>
    </row>
    <row r="918" spans="2:7" x14ac:dyDescent="0.35">
      <c r="B918" s="43"/>
      <c r="G918" s="13"/>
    </row>
    <row r="919" spans="2:7" x14ac:dyDescent="0.35">
      <c r="B919" s="43"/>
      <c r="G919" s="13"/>
    </row>
    <row r="920" spans="2:7" x14ac:dyDescent="0.35">
      <c r="B920" s="43"/>
      <c r="G920" s="13"/>
    </row>
    <row r="921" spans="2:7" x14ac:dyDescent="0.35">
      <c r="B921" s="43"/>
      <c r="G921" s="13"/>
    </row>
    <row r="922" spans="2:7" x14ac:dyDescent="0.35">
      <c r="B922" s="43"/>
      <c r="G922" s="13"/>
    </row>
    <row r="923" spans="2:7" x14ac:dyDescent="0.35">
      <c r="B923" s="43"/>
      <c r="G923" s="13"/>
    </row>
    <row r="924" spans="2:7" x14ac:dyDescent="0.35">
      <c r="B924" s="43"/>
      <c r="G924" s="13"/>
    </row>
    <row r="925" spans="2:7" x14ac:dyDescent="0.35">
      <c r="B925" s="43"/>
      <c r="G925" s="13"/>
    </row>
    <row r="926" spans="2:7" x14ac:dyDescent="0.35">
      <c r="B926" s="28"/>
      <c r="G926" s="13"/>
    </row>
    <row r="927" spans="2:7" x14ac:dyDescent="0.35">
      <c r="B927" s="43"/>
      <c r="G927" s="13"/>
    </row>
    <row r="928" spans="2:7" x14ac:dyDescent="0.35">
      <c r="B928" s="43"/>
      <c r="G928" s="13"/>
    </row>
    <row r="929" spans="2:7" x14ac:dyDescent="0.35">
      <c r="B929" s="43"/>
      <c r="G929" s="13"/>
    </row>
    <row r="930" spans="2:7" x14ac:dyDescent="0.35">
      <c r="B930" s="43"/>
      <c r="G930" s="13"/>
    </row>
    <row r="931" spans="2:7" x14ac:dyDescent="0.35">
      <c r="B931" s="43"/>
      <c r="G931" s="13"/>
    </row>
    <row r="932" spans="2:7" x14ac:dyDescent="0.35">
      <c r="B932" s="43"/>
      <c r="G932" s="13"/>
    </row>
    <row r="933" spans="2:7" x14ac:dyDescent="0.35">
      <c r="B933" s="43"/>
      <c r="G933" s="13"/>
    </row>
    <row r="934" spans="2:7" x14ac:dyDescent="0.35">
      <c r="B934" s="43"/>
      <c r="G934" s="13"/>
    </row>
    <row r="935" spans="2:7" x14ac:dyDescent="0.35">
      <c r="B935" s="43"/>
      <c r="G935" s="13"/>
    </row>
    <row r="936" spans="2:7" x14ac:dyDescent="0.35">
      <c r="B936" s="43"/>
      <c r="G936" s="13"/>
    </row>
    <row r="937" spans="2:7" x14ac:dyDescent="0.35">
      <c r="B937" s="43"/>
      <c r="G937" s="13"/>
    </row>
    <row r="938" spans="2:7" x14ac:dyDescent="0.35">
      <c r="B938" s="28"/>
      <c r="G938" s="13"/>
    </row>
    <row r="939" spans="2:7" x14ac:dyDescent="0.35">
      <c r="B939" s="43"/>
      <c r="G939" s="13"/>
    </row>
    <row r="940" spans="2:7" x14ac:dyDescent="0.35">
      <c r="B940" s="43"/>
      <c r="G940" s="13"/>
    </row>
    <row r="941" spans="2:7" x14ac:dyDescent="0.35">
      <c r="B941" s="43"/>
      <c r="G941" s="13"/>
    </row>
    <row r="942" spans="2:7" x14ac:dyDescent="0.35">
      <c r="B942" s="43"/>
      <c r="G942" s="13"/>
    </row>
    <row r="943" spans="2:7" x14ac:dyDescent="0.35">
      <c r="B943" s="43"/>
      <c r="G943" s="13"/>
    </row>
    <row r="944" spans="2:7" x14ac:dyDescent="0.35">
      <c r="B944" s="43"/>
      <c r="G944" s="13"/>
    </row>
    <row r="945" spans="2:7" x14ac:dyDescent="0.35">
      <c r="B945" s="43"/>
      <c r="G945" s="13"/>
    </row>
    <row r="946" spans="2:7" x14ac:dyDescent="0.35">
      <c r="B946" s="43"/>
      <c r="G946" s="13"/>
    </row>
    <row r="947" spans="2:7" x14ac:dyDescent="0.35">
      <c r="B947" s="43"/>
      <c r="G947" s="13"/>
    </row>
    <row r="948" spans="2:7" x14ac:dyDescent="0.35">
      <c r="B948" s="43"/>
      <c r="G948" s="13"/>
    </row>
    <row r="949" spans="2:7" x14ac:dyDescent="0.35">
      <c r="B949" s="43"/>
      <c r="G949" s="13"/>
    </row>
    <row r="950" spans="2:7" x14ac:dyDescent="0.35">
      <c r="B950" s="43"/>
      <c r="G950" s="13"/>
    </row>
    <row r="951" spans="2:7" x14ac:dyDescent="0.35">
      <c r="B951" s="43"/>
      <c r="G951" s="13"/>
    </row>
    <row r="952" spans="2:7" x14ac:dyDescent="0.35">
      <c r="B952" s="43"/>
      <c r="G952" s="13"/>
    </row>
    <row r="953" spans="2:7" x14ac:dyDescent="0.35">
      <c r="B953" s="43"/>
      <c r="G953" s="13"/>
    </row>
    <row r="954" spans="2:7" x14ac:dyDescent="0.35">
      <c r="B954" s="43"/>
      <c r="G954" s="13"/>
    </row>
    <row r="955" spans="2:7" x14ac:dyDescent="0.35">
      <c r="B955" s="43"/>
      <c r="G955" s="13"/>
    </row>
    <row r="956" spans="2:7" x14ac:dyDescent="0.35">
      <c r="B956" s="43"/>
      <c r="G956" s="13"/>
    </row>
    <row r="957" spans="2:7" x14ac:dyDescent="0.35">
      <c r="B957" s="43"/>
      <c r="G957" s="13"/>
    </row>
    <row r="958" spans="2:7" x14ac:dyDescent="0.35">
      <c r="B958" s="43"/>
      <c r="G958" s="13"/>
    </row>
    <row r="959" spans="2:7" x14ac:dyDescent="0.35">
      <c r="B959" s="43"/>
      <c r="G959" s="13"/>
    </row>
    <row r="960" spans="2:7" x14ac:dyDescent="0.35">
      <c r="B960" s="43"/>
      <c r="G960" s="13"/>
    </row>
    <row r="961" spans="2:7" x14ac:dyDescent="0.35">
      <c r="B961" s="43"/>
      <c r="G961" s="13"/>
    </row>
    <row r="962" spans="2:7" x14ac:dyDescent="0.35">
      <c r="B962" s="43"/>
      <c r="G962" s="13"/>
    </row>
    <row r="963" spans="2:7" x14ac:dyDescent="0.35">
      <c r="B963" s="43"/>
      <c r="G963" s="13"/>
    </row>
    <row r="964" spans="2:7" x14ac:dyDescent="0.35">
      <c r="B964" s="43"/>
      <c r="G964" s="13"/>
    </row>
    <row r="965" spans="2:7" x14ac:dyDescent="0.35">
      <c r="B965" s="43"/>
      <c r="G965" s="13"/>
    </row>
    <row r="966" spans="2:7" x14ac:dyDescent="0.35">
      <c r="B966" s="43"/>
      <c r="G966" s="13"/>
    </row>
    <row r="967" spans="2:7" x14ac:dyDescent="0.35">
      <c r="B967" s="43"/>
      <c r="G967" s="13"/>
    </row>
    <row r="968" spans="2:7" x14ac:dyDescent="0.35">
      <c r="B968" s="43"/>
      <c r="G968" s="13"/>
    </row>
    <row r="969" spans="2:7" x14ac:dyDescent="0.35">
      <c r="B969" s="43"/>
      <c r="G969" s="13"/>
    </row>
    <row r="970" spans="2:7" x14ac:dyDescent="0.35">
      <c r="B970" s="43"/>
      <c r="G970" s="13"/>
    </row>
    <row r="971" spans="2:7" x14ac:dyDescent="0.35">
      <c r="B971" s="43"/>
      <c r="G971" s="13"/>
    </row>
    <row r="972" spans="2:7" x14ac:dyDescent="0.35">
      <c r="B972" s="43"/>
      <c r="G972" s="13"/>
    </row>
    <row r="973" spans="2:7" x14ac:dyDescent="0.35">
      <c r="B973" s="43"/>
      <c r="G973" s="13"/>
    </row>
    <row r="974" spans="2:7" x14ac:dyDescent="0.35">
      <c r="B974" s="43"/>
      <c r="G974" s="13"/>
    </row>
    <row r="975" spans="2:7" x14ac:dyDescent="0.35">
      <c r="B975" s="43"/>
      <c r="G975" s="13"/>
    </row>
    <row r="976" spans="2:7" x14ac:dyDescent="0.35">
      <c r="B976" s="43"/>
      <c r="G976" s="13"/>
    </row>
    <row r="977" spans="2:7" x14ac:dyDescent="0.35">
      <c r="B977" s="43"/>
      <c r="G977" s="13"/>
    </row>
    <row r="978" spans="2:7" x14ac:dyDescent="0.35">
      <c r="B978" s="43"/>
      <c r="G978" s="13"/>
    </row>
    <row r="979" spans="2:7" x14ac:dyDescent="0.35">
      <c r="B979" s="43"/>
      <c r="G979" s="13"/>
    </row>
    <row r="980" spans="2:7" x14ac:dyDescent="0.35">
      <c r="B980" s="43"/>
      <c r="G980" s="13"/>
    </row>
    <row r="981" spans="2:7" x14ac:dyDescent="0.35">
      <c r="B981" s="43"/>
      <c r="G981" s="13"/>
    </row>
    <row r="982" spans="2:7" x14ac:dyDescent="0.35">
      <c r="B982" s="43"/>
      <c r="G982" s="13"/>
    </row>
    <row r="983" spans="2:7" x14ac:dyDescent="0.35">
      <c r="B983" s="43"/>
      <c r="G983" s="13"/>
    </row>
    <row r="984" spans="2:7" x14ac:dyDescent="0.35">
      <c r="B984" s="43"/>
      <c r="G984" s="13"/>
    </row>
    <row r="985" spans="2:7" x14ac:dyDescent="0.35">
      <c r="B985" s="43"/>
      <c r="G985" s="13"/>
    </row>
    <row r="986" spans="2:7" x14ac:dyDescent="0.35">
      <c r="B986" s="43"/>
      <c r="G986" s="13"/>
    </row>
    <row r="987" spans="2:7" x14ac:dyDescent="0.35">
      <c r="B987" s="43"/>
      <c r="G987" s="13"/>
    </row>
    <row r="988" spans="2:7" x14ac:dyDescent="0.35">
      <c r="B988" s="43"/>
      <c r="G988" s="13"/>
    </row>
    <row r="989" spans="2:7" x14ac:dyDescent="0.35">
      <c r="B989" s="43"/>
      <c r="G989" s="13"/>
    </row>
    <row r="990" spans="2:7" x14ac:dyDescent="0.35">
      <c r="B990" s="43"/>
      <c r="G990" s="13"/>
    </row>
    <row r="991" spans="2:7" x14ac:dyDescent="0.35">
      <c r="B991" s="43"/>
      <c r="G991" s="13"/>
    </row>
    <row r="992" spans="2:7" x14ac:dyDescent="0.35">
      <c r="B992" s="43"/>
      <c r="G992" s="13"/>
    </row>
    <row r="993" spans="2:7" x14ac:dyDescent="0.35">
      <c r="B993" s="43"/>
      <c r="G993" s="13"/>
    </row>
    <row r="994" spans="2:7" x14ac:dyDescent="0.35">
      <c r="B994" s="43"/>
      <c r="G994" s="13"/>
    </row>
    <row r="995" spans="2:7" x14ac:dyDescent="0.35">
      <c r="B995" s="43"/>
      <c r="G995" s="13"/>
    </row>
    <row r="996" spans="2:7" x14ac:dyDescent="0.35">
      <c r="B996" s="43"/>
      <c r="G996" s="13"/>
    </row>
    <row r="997" spans="2:7" x14ac:dyDescent="0.35">
      <c r="B997" s="43"/>
      <c r="G997" s="13"/>
    </row>
    <row r="998" spans="2:7" x14ac:dyDescent="0.35">
      <c r="B998" s="43"/>
      <c r="G998" s="13"/>
    </row>
    <row r="999" spans="2:7" x14ac:dyDescent="0.35">
      <c r="B999" s="43"/>
      <c r="G999" s="13"/>
    </row>
    <row r="1000" spans="2:7" x14ac:dyDescent="0.35">
      <c r="B1000" s="43"/>
      <c r="G1000" s="13"/>
    </row>
    <row r="1001" spans="2:7" x14ac:dyDescent="0.35">
      <c r="B1001" s="43"/>
      <c r="G1001" s="13"/>
    </row>
    <row r="1002" spans="2:7" x14ac:dyDescent="0.35">
      <c r="B1002" s="43"/>
      <c r="G1002" s="13"/>
    </row>
    <row r="1003" spans="2:7" x14ac:dyDescent="0.35">
      <c r="B1003" s="43"/>
      <c r="G1003" s="13"/>
    </row>
    <row r="1004" spans="2:7" x14ac:dyDescent="0.35">
      <c r="B1004" s="43"/>
      <c r="G1004" s="13"/>
    </row>
    <row r="1005" spans="2:7" x14ac:dyDescent="0.35">
      <c r="B1005" s="43"/>
      <c r="G1005" s="13"/>
    </row>
    <row r="1006" spans="2:7" x14ac:dyDescent="0.35">
      <c r="B1006" s="43"/>
      <c r="G1006" s="13"/>
    </row>
    <row r="1007" spans="2:7" x14ac:dyDescent="0.35">
      <c r="B1007" s="43"/>
      <c r="G1007" s="13"/>
    </row>
    <row r="1008" spans="2:7" x14ac:dyDescent="0.35">
      <c r="B1008" s="43"/>
      <c r="G1008" s="13"/>
    </row>
    <row r="1009" spans="2:7" x14ac:dyDescent="0.35">
      <c r="B1009" s="43"/>
      <c r="G1009" s="13"/>
    </row>
    <row r="1010" spans="2:7" x14ac:dyDescent="0.35">
      <c r="B1010" s="43"/>
      <c r="G1010" s="13"/>
    </row>
    <row r="1011" spans="2:7" x14ac:dyDescent="0.35">
      <c r="B1011" s="43"/>
      <c r="G1011" s="13"/>
    </row>
    <row r="1012" spans="2:7" x14ac:dyDescent="0.35">
      <c r="B1012" s="43"/>
      <c r="G1012" s="13"/>
    </row>
    <row r="1013" spans="2:7" x14ac:dyDescent="0.35">
      <c r="B1013" s="43"/>
      <c r="G1013" s="13"/>
    </row>
    <row r="1014" spans="2:7" x14ac:dyDescent="0.35">
      <c r="B1014" s="43"/>
      <c r="G1014" s="13"/>
    </row>
    <row r="1015" spans="2:7" x14ac:dyDescent="0.35">
      <c r="B1015" s="43"/>
      <c r="G1015" s="13"/>
    </row>
    <row r="1016" spans="2:7" x14ac:dyDescent="0.35">
      <c r="B1016" s="43"/>
      <c r="G1016" s="13"/>
    </row>
    <row r="1017" spans="2:7" x14ac:dyDescent="0.35">
      <c r="B1017" s="43"/>
      <c r="G1017" s="13"/>
    </row>
    <row r="1018" spans="2:7" x14ac:dyDescent="0.35">
      <c r="B1018" s="43"/>
      <c r="G1018" s="13"/>
    </row>
    <row r="1019" spans="2:7" x14ac:dyDescent="0.35">
      <c r="B1019" s="43"/>
      <c r="G1019" s="13"/>
    </row>
    <row r="1020" spans="2:7" x14ac:dyDescent="0.35">
      <c r="B1020" s="43"/>
      <c r="G1020" s="13"/>
    </row>
    <row r="1021" spans="2:7" x14ac:dyDescent="0.35">
      <c r="B1021" s="43"/>
      <c r="G1021" s="13"/>
    </row>
    <row r="1022" spans="2:7" x14ac:dyDescent="0.35">
      <c r="B1022" s="43"/>
      <c r="G1022" s="13"/>
    </row>
    <row r="1023" spans="2:7" x14ac:dyDescent="0.35">
      <c r="B1023" s="43"/>
      <c r="G1023" s="13"/>
    </row>
    <row r="1024" spans="2:7" x14ac:dyDescent="0.35">
      <c r="B1024" s="43"/>
      <c r="G1024" s="13"/>
    </row>
    <row r="1025" spans="2:7" x14ac:dyDescent="0.35">
      <c r="B1025" s="43"/>
      <c r="G1025" s="13"/>
    </row>
    <row r="1026" spans="2:7" x14ac:dyDescent="0.35">
      <c r="B1026" s="43"/>
      <c r="G1026" s="13"/>
    </row>
    <row r="1027" spans="2:7" x14ac:dyDescent="0.35">
      <c r="B1027" s="1"/>
      <c r="G1027" s="13"/>
    </row>
    <row r="1028" spans="2:7" x14ac:dyDescent="0.35">
      <c r="B1028" s="43"/>
      <c r="G1028" s="13"/>
    </row>
    <row r="1029" spans="2:7" x14ac:dyDescent="0.35">
      <c r="B1029" s="43"/>
      <c r="G1029" s="13"/>
    </row>
    <row r="1030" spans="2:7" x14ac:dyDescent="0.35">
      <c r="B1030" s="43"/>
      <c r="G1030" s="13"/>
    </row>
    <row r="1031" spans="2:7" x14ac:dyDescent="0.35">
      <c r="B1031" s="43"/>
      <c r="G1031" s="13"/>
    </row>
    <row r="1032" spans="2:7" x14ac:dyDescent="0.35">
      <c r="B1032" s="43"/>
      <c r="G1032" s="13"/>
    </row>
    <row r="1033" spans="2:7" x14ac:dyDescent="0.35">
      <c r="B1033" s="43"/>
      <c r="G1033" s="13"/>
    </row>
    <row r="1034" spans="2:7" x14ac:dyDescent="0.35">
      <c r="B1034" s="43"/>
      <c r="G1034" s="13"/>
    </row>
    <row r="1035" spans="2:7" x14ac:dyDescent="0.35">
      <c r="B1035" s="43"/>
      <c r="G1035" s="13"/>
    </row>
    <row r="1036" spans="2:7" x14ac:dyDescent="0.35">
      <c r="B1036" s="43"/>
      <c r="G1036" s="13"/>
    </row>
    <row r="1037" spans="2:7" x14ac:dyDescent="0.35">
      <c r="B1037" s="43"/>
      <c r="G1037" s="13"/>
    </row>
    <row r="1038" spans="2:7" x14ac:dyDescent="0.35">
      <c r="B1038" s="43"/>
      <c r="G1038" s="13"/>
    </row>
    <row r="1039" spans="2:7" x14ac:dyDescent="0.35">
      <c r="B1039" s="28"/>
      <c r="G1039" s="13"/>
    </row>
    <row r="1040" spans="2:7" x14ac:dyDescent="0.35">
      <c r="B1040" s="43"/>
      <c r="G1040" s="13"/>
    </row>
    <row r="1041" spans="2:7" x14ac:dyDescent="0.35">
      <c r="B1041" s="43"/>
      <c r="G1041" s="13"/>
    </row>
    <row r="1042" spans="2:7" x14ac:dyDescent="0.35">
      <c r="B1042" s="43"/>
      <c r="G1042" s="13"/>
    </row>
    <row r="1043" spans="2:7" x14ac:dyDescent="0.35">
      <c r="B1043" s="43"/>
      <c r="G1043" s="13"/>
    </row>
    <row r="1044" spans="2:7" x14ac:dyDescent="0.35">
      <c r="B1044" s="43"/>
      <c r="G1044" s="13"/>
    </row>
    <row r="1045" spans="2:7" x14ac:dyDescent="0.35">
      <c r="B1045" s="43"/>
      <c r="G1045" s="13"/>
    </row>
    <row r="1046" spans="2:7" x14ac:dyDescent="0.35">
      <c r="B1046" s="43"/>
      <c r="G1046" s="13"/>
    </row>
    <row r="1047" spans="2:7" x14ac:dyDescent="0.35">
      <c r="B1047" s="43"/>
      <c r="G1047" s="13"/>
    </row>
    <row r="1048" spans="2:7" x14ac:dyDescent="0.35">
      <c r="B1048" s="43"/>
      <c r="G1048" s="13"/>
    </row>
    <row r="1049" spans="2:7" x14ac:dyDescent="0.35">
      <c r="B1049" s="43"/>
      <c r="G1049" s="13"/>
    </row>
    <row r="1050" spans="2:7" x14ac:dyDescent="0.35">
      <c r="B1050" s="43"/>
      <c r="G1050" s="13"/>
    </row>
    <row r="1051" spans="2:7" x14ac:dyDescent="0.35">
      <c r="B1051" s="28"/>
      <c r="G1051" s="13"/>
    </row>
    <row r="1052" spans="2:7" x14ac:dyDescent="0.35">
      <c r="B1052" s="43"/>
      <c r="G1052" s="13"/>
    </row>
    <row r="1053" spans="2:7" x14ac:dyDescent="0.35">
      <c r="B1053" s="43"/>
      <c r="G1053" s="13"/>
    </row>
    <row r="1054" spans="2:7" x14ac:dyDescent="0.35">
      <c r="B1054" s="43"/>
      <c r="G1054" s="13"/>
    </row>
    <row r="1055" spans="2:7" x14ac:dyDescent="0.35">
      <c r="B1055" s="43"/>
      <c r="G1055" s="13"/>
    </row>
    <row r="1056" spans="2:7" x14ac:dyDescent="0.35">
      <c r="B1056" s="43"/>
      <c r="G1056" s="13"/>
    </row>
    <row r="1057" spans="2:7" x14ac:dyDescent="0.35">
      <c r="B1057" s="43"/>
      <c r="G1057" s="13"/>
    </row>
    <row r="1058" spans="2:7" x14ac:dyDescent="0.35">
      <c r="B1058" s="43"/>
      <c r="G1058" s="13"/>
    </row>
    <row r="1059" spans="2:7" x14ac:dyDescent="0.35">
      <c r="B1059" s="43"/>
      <c r="G1059" s="13"/>
    </row>
    <row r="1060" spans="2:7" x14ac:dyDescent="0.35">
      <c r="B1060" s="43"/>
      <c r="G1060" s="13"/>
    </row>
    <row r="1061" spans="2:7" x14ac:dyDescent="0.35">
      <c r="B1061" s="43"/>
      <c r="G1061" s="13"/>
    </row>
    <row r="1062" spans="2:7" x14ac:dyDescent="0.35">
      <c r="B1062" s="43"/>
      <c r="G1062" s="13"/>
    </row>
    <row r="1063" spans="2:7" x14ac:dyDescent="0.35">
      <c r="B1063" s="28"/>
      <c r="G1063" s="13"/>
    </row>
    <row r="1064" spans="2:7" x14ac:dyDescent="0.35">
      <c r="B1064" s="43"/>
      <c r="G1064" s="13"/>
    </row>
    <row r="1065" spans="2:7" x14ac:dyDescent="0.35">
      <c r="B1065" s="43"/>
      <c r="G1065" s="13"/>
    </row>
    <row r="1066" spans="2:7" x14ac:dyDescent="0.35">
      <c r="B1066" s="43"/>
      <c r="G1066" s="13"/>
    </row>
    <row r="1067" spans="2:7" x14ac:dyDescent="0.35">
      <c r="B1067" s="43"/>
      <c r="G1067" s="13"/>
    </row>
    <row r="1068" spans="2:7" x14ac:dyDescent="0.35">
      <c r="B1068" s="43"/>
      <c r="G1068" s="13"/>
    </row>
    <row r="1069" spans="2:7" x14ac:dyDescent="0.35">
      <c r="B1069" s="43"/>
      <c r="G1069" s="13"/>
    </row>
    <row r="1070" spans="2:7" x14ac:dyDescent="0.35">
      <c r="B1070" s="43"/>
      <c r="G1070" s="13"/>
    </row>
    <row r="1071" spans="2:7" x14ac:dyDescent="0.35">
      <c r="B1071" s="43"/>
      <c r="G1071" s="13"/>
    </row>
    <row r="1072" spans="2:7" x14ac:dyDescent="0.35">
      <c r="B1072" s="43"/>
      <c r="G1072" s="13"/>
    </row>
    <row r="1073" spans="2:7" x14ac:dyDescent="0.35">
      <c r="B1073" s="43"/>
      <c r="G1073" s="13"/>
    </row>
    <row r="1074" spans="2:7" x14ac:dyDescent="0.35">
      <c r="B1074" s="43"/>
      <c r="G1074" s="13"/>
    </row>
    <row r="1075" spans="2:7" x14ac:dyDescent="0.35">
      <c r="B1075" s="28"/>
      <c r="G1075" s="13"/>
    </row>
    <row r="1076" spans="2:7" x14ac:dyDescent="0.35">
      <c r="B1076" s="43"/>
      <c r="G1076" s="13"/>
    </row>
    <row r="1077" spans="2:7" x14ac:dyDescent="0.35">
      <c r="B1077" s="43"/>
      <c r="G1077" s="13"/>
    </row>
    <row r="1078" spans="2:7" x14ac:dyDescent="0.35">
      <c r="B1078" s="43"/>
      <c r="G1078" s="13"/>
    </row>
    <row r="1079" spans="2:7" x14ac:dyDescent="0.35">
      <c r="B1079" s="43"/>
      <c r="G1079" s="13"/>
    </row>
    <row r="1080" spans="2:7" x14ac:dyDescent="0.35">
      <c r="B1080" s="43"/>
      <c r="G1080" s="13"/>
    </row>
    <row r="1081" spans="2:7" x14ac:dyDescent="0.35">
      <c r="B1081" s="43"/>
      <c r="G1081" s="13"/>
    </row>
    <row r="1082" spans="2:7" x14ac:dyDescent="0.35">
      <c r="B1082" s="43"/>
      <c r="G1082" s="13"/>
    </row>
    <row r="1083" spans="2:7" x14ac:dyDescent="0.35">
      <c r="B1083" s="1"/>
      <c r="G1083" s="13"/>
    </row>
    <row r="1084" spans="2:7" x14ac:dyDescent="0.35">
      <c r="B1084" s="43"/>
      <c r="G1084" s="13"/>
    </row>
    <row r="1085" spans="2:7" x14ac:dyDescent="0.35">
      <c r="B1085" s="43"/>
      <c r="G1085" s="13"/>
    </row>
    <row r="1086" spans="2:7" x14ac:dyDescent="0.35">
      <c r="B1086" s="43"/>
      <c r="G1086" s="13"/>
    </row>
    <row r="1087" spans="2:7" x14ac:dyDescent="0.35">
      <c r="B1087" s="43"/>
      <c r="G1087" s="13"/>
    </row>
    <row r="1088" spans="2:7" x14ac:dyDescent="0.35">
      <c r="B1088" s="43"/>
      <c r="G1088" s="13"/>
    </row>
    <row r="1089" spans="2:7" x14ac:dyDescent="0.35">
      <c r="B1089" s="43"/>
      <c r="G1089" s="13"/>
    </row>
    <row r="1090" spans="2:7" x14ac:dyDescent="0.35">
      <c r="B1090" s="43"/>
      <c r="G1090" s="13"/>
    </row>
    <row r="1091" spans="2:7" x14ac:dyDescent="0.35">
      <c r="B1091" s="43"/>
      <c r="G1091" s="13"/>
    </row>
    <row r="1092" spans="2:7" x14ac:dyDescent="0.35">
      <c r="B1092" s="43"/>
      <c r="G1092" s="13"/>
    </row>
    <row r="1093" spans="2:7" x14ac:dyDescent="0.35">
      <c r="B1093" s="43"/>
      <c r="G1093" s="13"/>
    </row>
    <row r="1094" spans="2:7" x14ac:dyDescent="0.35">
      <c r="B1094" s="43"/>
      <c r="G1094" s="13"/>
    </row>
    <row r="1095" spans="2:7" x14ac:dyDescent="0.35">
      <c r="B1095" s="28"/>
      <c r="G1095" s="13"/>
    </row>
    <row r="1096" spans="2:7" x14ac:dyDescent="0.35">
      <c r="B1096" s="43"/>
      <c r="G1096" s="13"/>
    </row>
    <row r="1097" spans="2:7" x14ac:dyDescent="0.35">
      <c r="B1097" s="43"/>
      <c r="G1097" s="13"/>
    </row>
    <row r="1098" spans="2:7" x14ac:dyDescent="0.35">
      <c r="B1098" s="43"/>
      <c r="G1098" s="13"/>
    </row>
    <row r="1099" spans="2:7" x14ac:dyDescent="0.35">
      <c r="B1099" s="43"/>
      <c r="G1099" s="13"/>
    </row>
    <row r="1100" spans="2:7" x14ac:dyDescent="0.35">
      <c r="B1100" s="43"/>
      <c r="G1100" s="13"/>
    </row>
    <row r="1101" spans="2:7" x14ac:dyDescent="0.35">
      <c r="B1101" s="43"/>
      <c r="G1101" s="13"/>
    </row>
    <row r="1102" spans="2:7" x14ac:dyDescent="0.35">
      <c r="B1102" s="43"/>
      <c r="G1102" s="13"/>
    </row>
    <row r="1103" spans="2:7" x14ac:dyDescent="0.35">
      <c r="B1103" s="43"/>
      <c r="G1103" s="13"/>
    </row>
    <row r="1104" spans="2:7" x14ac:dyDescent="0.35">
      <c r="B1104" s="43"/>
      <c r="G1104" s="13"/>
    </row>
    <row r="1105" spans="2:7" x14ac:dyDescent="0.35">
      <c r="B1105" s="43"/>
      <c r="G1105" s="13"/>
    </row>
    <row r="1106" spans="2:7" x14ac:dyDescent="0.35">
      <c r="B1106" s="43"/>
      <c r="G1106" s="13"/>
    </row>
    <row r="1107" spans="2:7" x14ac:dyDescent="0.35">
      <c r="B1107" s="28"/>
      <c r="G1107" s="13"/>
    </row>
    <row r="1108" spans="2:7" x14ac:dyDescent="0.35">
      <c r="B1108" s="43"/>
      <c r="G1108" s="13"/>
    </row>
    <row r="1109" spans="2:7" x14ac:dyDescent="0.35">
      <c r="B1109" s="43"/>
      <c r="G1109" s="13"/>
    </row>
    <row r="1110" spans="2:7" x14ac:dyDescent="0.35">
      <c r="B1110" s="43"/>
      <c r="G1110" s="13"/>
    </row>
    <row r="1111" spans="2:7" x14ac:dyDescent="0.35">
      <c r="B1111" s="43"/>
      <c r="G1111" s="13"/>
    </row>
    <row r="1112" spans="2:7" x14ac:dyDescent="0.35">
      <c r="B1112" s="43"/>
      <c r="G1112" s="13"/>
    </row>
    <row r="1113" spans="2:7" x14ac:dyDescent="0.35">
      <c r="B1113" s="43"/>
      <c r="G1113" s="13"/>
    </row>
    <row r="1114" spans="2:7" x14ac:dyDescent="0.35">
      <c r="B1114" s="43"/>
      <c r="G1114" s="13"/>
    </row>
    <row r="1115" spans="2:7" x14ac:dyDescent="0.35">
      <c r="B1115" s="43"/>
      <c r="G1115" s="13"/>
    </row>
    <row r="1116" spans="2:7" x14ac:dyDescent="0.35">
      <c r="B1116" s="43"/>
      <c r="G1116" s="13"/>
    </row>
    <row r="1117" spans="2:7" x14ac:dyDescent="0.35">
      <c r="B1117" s="43"/>
      <c r="G1117" s="13"/>
    </row>
    <row r="1118" spans="2:7" x14ac:dyDescent="0.35">
      <c r="B1118" s="43"/>
      <c r="G1118" s="13"/>
    </row>
    <row r="1119" spans="2:7" x14ac:dyDescent="0.35">
      <c r="B1119" s="28"/>
      <c r="G1119" s="13"/>
    </row>
    <row r="1120" spans="2:7" x14ac:dyDescent="0.35">
      <c r="B1120" s="43"/>
      <c r="G1120" s="13"/>
    </row>
    <row r="1121" spans="2:7" x14ac:dyDescent="0.35">
      <c r="B1121" s="43"/>
      <c r="G1121" s="13"/>
    </row>
    <row r="1122" spans="2:7" x14ac:dyDescent="0.35">
      <c r="B1122" s="43"/>
      <c r="G1122" s="13"/>
    </row>
    <row r="1123" spans="2:7" x14ac:dyDescent="0.35">
      <c r="B1123" s="43"/>
      <c r="G1123" s="13"/>
    </row>
    <row r="1124" spans="2:7" x14ac:dyDescent="0.35">
      <c r="B1124" s="43"/>
      <c r="G1124" s="13"/>
    </row>
    <row r="1125" spans="2:7" x14ac:dyDescent="0.35">
      <c r="B1125" s="43"/>
      <c r="G1125" s="13"/>
    </row>
    <row r="1126" spans="2:7" x14ac:dyDescent="0.35">
      <c r="B1126" s="43"/>
      <c r="G1126" s="13"/>
    </row>
    <row r="1127" spans="2:7" x14ac:dyDescent="0.35">
      <c r="B1127" s="43"/>
      <c r="G1127" s="13"/>
    </row>
    <row r="1128" spans="2:7" x14ac:dyDescent="0.35">
      <c r="B1128" s="43"/>
      <c r="G1128" s="13"/>
    </row>
    <row r="1129" spans="2:7" x14ac:dyDescent="0.35">
      <c r="B1129" s="43"/>
      <c r="G1129" s="13"/>
    </row>
    <row r="1130" spans="2:7" x14ac:dyDescent="0.35">
      <c r="B1130" s="43"/>
      <c r="G1130" s="13"/>
    </row>
    <row r="1131" spans="2:7" x14ac:dyDescent="0.35">
      <c r="B1131" s="28"/>
      <c r="G1131" s="13"/>
    </row>
    <row r="1132" spans="2:7" x14ac:dyDescent="0.35">
      <c r="B1132" s="43"/>
      <c r="G1132" s="13"/>
    </row>
    <row r="1133" spans="2:7" x14ac:dyDescent="0.35">
      <c r="B1133" s="43"/>
      <c r="G1133" s="13"/>
    </row>
    <row r="1134" spans="2:7" x14ac:dyDescent="0.35">
      <c r="B1134" s="43"/>
      <c r="G1134" s="13"/>
    </row>
    <row r="1135" spans="2:7" x14ac:dyDescent="0.35">
      <c r="B1135" s="43"/>
      <c r="G1135" s="13"/>
    </row>
    <row r="1136" spans="2:7" x14ac:dyDescent="0.35">
      <c r="B1136" s="43"/>
      <c r="G1136" s="13"/>
    </row>
    <row r="1137" spans="2:7" x14ac:dyDescent="0.35">
      <c r="B1137" s="43"/>
      <c r="G1137" s="13"/>
    </row>
    <row r="1138" spans="2:7" x14ac:dyDescent="0.35">
      <c r="B1138" s="1"/>
      <c r="G1138" s="13"/>
    </row>
    <row r="1139" spans="2:7" x14ac:dyDescent="0.35">
      <c r="B1139" s="28"/>
      <c r="G1139" s="13"/>
    </row>
    <row r="1140" spans="2:7" x14ac:dyDescent="0.35">
      <c r="B1140" s="28"/>
      <c r="G1140" s="13"/>
    </row>
    <row r="1141" spans="2:7" x14ac:dyDescent="0.35">
      <c r="B1141" s="28"/>
      <c r="G1141" s="13"/>
    </row>
    <row r="1142" spans="2:7" x14ac:dyDescent="0.35">
      <c r="B1142" s="28"/>
      <c r="G1142" s="13"/>
    </row>
    <row r="1143" spans="2:7" x14ac:dyDescent="0.35">
      <c r="B1143" s="28"/>
      <c r="G1143" s="13"/>
    </row>
    <row r="1144" spans="2:7" x14ac:dyDescent="0.35">
      <c r="B1144" s="28"/>
      <c r="G1144" s="13"/>
    </row>
    <row r="1145" spans="2:7" x14ac:dyDescent="0.35">
      <c r="B1145" s="28"/>
      <c r="G1145" s="13"/>
    </row>
    <row r="1146" spans="2:7" x14ac:dyDescent="0.35">
      <c r="B1146" s="28"/>
      <c r="G1146" s="13"/>
    </row>
    <row r="1147" spans="2:7" x14ac:dyDescent="0.35">
      <c r="B1147" s="28"/>
      <c r="G1147" s="13"/>
    </row>
    <row r="1148" spans="2:7" x14ac:dyDescent="0.35">
      <c r="B1148" s="28"/>
      <c r="G1148" s="13"/>
    </row>
    <row r="1149" spans="2:7" x14ac:dyDescent="0.35">
      <c r="B1149" s="28"/>
      <c r="G1149" s="13"/>
    </row>
    <row r="1150" spans="2:7" x14ac:dyDescent="0.35">
      <c r="B1150" s="28"/>
      <c r="G1150" s="13"/>
    </row>
    <row r="1151" spans="2:7" x14ac:dyDescent="0.35">
      <c r="B1151" s="28"/>
      <c r="G1151" s="13"/>
    </row>
    <row r="1152" spans="2:7" x14ac:dyDescent="0.35">
      <c r="B1152" s="28"/>
      <c r="G1152" s="13"/>
    </row>
    <row r="1153" spans="2:7" x14ac:dyDescent="0.35">
      <c r="B1153" s="28"/>
      <c r="G1153" s="13"/>
    </row>
    <row r="1154" spans="2:7" x14ac:dyDescent="0.35">
      <c r="B1154" s="28"/>
      <c r="G1154" s="13"/>
    </row>
    <row r="1155" spans="2:7" x14ac:dyDescent="0.35">
      <c r="B1155" s="28"/>
      <c r="G1155" s="13"/>
    </row>
    <row r="1156" spans="2:7" x14ac:dyDescent="0.35">
      <c r="B1156" s="28"/>
      <c r="G1156" s="13"/>
    </row>
    <row r="1157" spans="2:7" x14ac:dyDescent="0.35">
      <c r="B1157" s="28"/>
      <c r="G1157" s="13"/>
    </row>
    <row r="1158" spans="2:7" x14ac:dyDescent="0.35">
      <c r="B1158" s="28"/>
      <c r="G1158" s="13"/>
    </row>
    <row r="1159" spans="2:7" x14ac:dyDescent="0.35">
      <c r="B1159" s="28"/>
      <c r="G1159" s="13"/>
    </row>
    <row r="1160" spans="2:7" x14ac:dyDescent="0.35">
      <c r="B1160" s="28"/>
      <c r="G1160" s="13"/>
    </row>
    <row r="1161" spans="2:7" x14ac:dyDescent="0.35">
      <c r="B1161" s="28"/>
      <c r="G1161" s="13"/>
    </row>
    <row r="1162" spans="2:7" x14ac:dyDescent="0.35">
      <c r="B1162" s="28"/>
      <c r="G1162" s="13"/>
    </row>
    <row r="1163" spans="2:7" x14ac:dyDescent="0.35">
      <c r="B1163" s="28"/>
      <c r="G1163"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0AE79-4826-447A-A516-00986644A4B3}">
  <sheetPr codeName="Sheet4"/>
  <dimension ref="A1:L7"/>
  <sheetViews>
    <sheetView tabSelected="1" workbookViewId="0">
      <selection activeCell="N8" sqref="N8"/>
    </sheetView>
  </sheetViews>
  <sheetFormatPr defaultRowHeight="14.5" x14ac:dyDescent="0.35"/>
  <cols>
    <col min="1" max="1" width="16.7265625" bestFit="1" customWidth="1"/>
    <col min="2" max="2" width="15.26953125" bestFit="1" customWidth="1"/>
    <col min="3" max="3" width="7.81640625" bestFit="1" customWidth="1"/>
    <col min="4" max="4" width="5.81640625" bestFit="1" customWidth="1"/>
    <col min="5" max="5" width="10.6328125" bestFit="1" customWidth="1"/>
    <col min="11" max="11" width="16" customWidth="1"/>
    <col min="12" max="12" width="16.26953125" customWidth="1"/>
  </cols>
  <sheetData>
    <row r="1" spans="1:12" x14ac:dyDescent="0.35">
      <c r="A1" s="57" t="s">
        <v>61</v>
      </c>
      <c r="B1" s="57" t="s">
        <v>62</v>
      </c>
      <c r="K1" t="s">
        <v>63</v>
      </c>
      <c r="L1" t="s">
        <v>64</v>
      </c>
    </row>
    <row r="2" spans="1:12" x14ac:dyDescent="0.35">
      <c r="A2" s="57" t="s">
        <v>59</v>
      </c>
      <c r="B2" t="s">
        <v>33</v>
      </c>
      <c r="C2" t="s">
        <v>35</v>
      </c>
      <c r="D2" t="s">
        <v>34</v>
      </c>
      <c r="E2" t="s">
        <v>60</v>
      </c>
      <c r="K2" s="60" t="s">
        <v>21</v>
      </c>
      <c r="L2">
        <f>-SUM('Output - Expenses&amp;Incomes'!I:I)</f>
        <v>-87925</v>
      </c>
    </row>
    <row r="3" spans="1:12" x14ac:dyDescent="0.35">
      <c r="A3" s="58" t="s">
        <v>31</v>
      </c>
      <c r="B3" s="59"/>
      <c r="C3" s="59"/>
      <c r="D3" s="59">
        <v>40000</v>
      </c>
      <c r="E3" s="59">
        <v>40000</v>
      </c>
      <c r="K3" s="61" t="s">
        <v>66</v>
      </c>
      <c r="L3">
        <f>SUM('Output - Expenses&amp;Incomes'!N:N)</f>
        <v>132000</v>
      </c>
    </row>
    <row r="4" spans="1:12" x14ac:dyDescent="0.35">
      <c r="A4" s="58" t="s">
        <v>11</v>
      </c>
      <c r="B4" s="59">
        <v>8000</v>
      </c>
      <c r="C4" s="59">
        <v>1200</v>
      </c>
      <c r="D4" s="59"/>
      <c r="E4" s="59">
        <v>9200</v>
      </c>
      <c r="K4" s="62" t="s">
        <v>65</v>
      </c>
      <c r="L4">
        <f>SUM(L2, L3)</f>
        <v>44075</v>
      </c>
    </row>
    <row r="5" spans="1:12" x14ac:dyDescent="0.35">
      <c r="A5" s="58" t="s">
        <v>10</v>
      </c>
      <c r="B5" s="59">
        <v>800</v>
      </c>
      <c r="C5" s="59"/>
      <c r="D5" s="59"/>
      <c r="E5" s="59">
        <v>800</v>
      </c>
    </row>
    <row r="6" spans="1:12" x14ac:dyDescent="0.35">
      <c r="A6" s="58" t="s">
        <v>24</v>
      </c>
      <c r="B6" s="59"/>
      <c r="C6" s="59">
        <v>925</v>
      </c>
      <c r="D6" s="59">
        <v>37000</v>
      </c>
      <c r="E6" s="59">
        <v>37925</v>
      </c>
    </row>
    <row r="7" spans="1:12" x14ac:dyDescent="0.35">
      <c r="A7" s="58" t="s">
        <v>60</v>
      </c>
      <c r="B7" s="59">
        <v>8800</v>
      </c>
      <c r="C7" s="59">
        <v>2125</v>
      </c>
      <c r="D7" s="59">
        <v>77000</v>
      </c>
      <c r="E7" s="59">
        <v>87925</v>
      </c>
    </row>
  </sheetData>
  <conditionalFormatting sqref="L2:L4">
    <cfRule type="cellIs" dxfId="1" priority="2" operator="greaterThan">
      <formula>0</formula>
    </cfRule>
    <cfRule type="cellIs" dxfId="0" priority="1" operator="lessThan">
      <formula>0</formula>
    </cfRule>
  </conditionalFormatting>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240CB-5CE8-48BF-8E13-C68D5F721ED0}">
  <sheetPr codeName="Sheet2"/>
  <dimension ref="A1:Q1147"/>
  <sheetViews>
    <sheetView workbookViewId="0">
      <selection activeCell="K3" sqref="K3:N1048576"/>
    </sheetView>
  </sheetViews>
  <sheetFormatPr defaultRowHeight="14.5" x14ac:dyDescent="0.35"/>
  <cols>
    <col min="1" max="1" width="15" customWidth="1"/>
    <col min="2" max="3" width="8.7265625" style="16"/>
    <col min="4" max="4" width="14.453125" customWidth="1"/>
    <col min="5" max="5" width="20.1796875" customWidth="1"/>
    <col min="6" max="6" width="15.26953125" customWidth="1"/>
    <col min="7" max="7" width="19.81640625" customWidth="1"/>
    <col min="8" max="8" width="9.7265625" customWidth="1"/>
    <col min="9" max="9" width="14.54296875" customWidth="1"/>
    <col min="10" max="10" width="8.7265625" style="16"/>
    <col min="11" max="11" width="17.6328125" customWidth="1"/>
    <col min="12" max="12" width="15.26953125" bestFit="1" customWidth="1"/>
    <col min="13" max="13" width="14.81640625" customWidth="1"/>
    <col min="14" max="14" width="11.08984375" customWidth="1"/>
    <col min="15" max="15" width="10.7265625" style="16" bestFit="1" customWidth="1"/>
    <col min="16" max="16" width="15.453125" customWidth="1"/>
    <col min="17" max="17" width="14.6328125" customWidth="1"/>
  </cols>
  <sheetData>
    <row r="1" spans="1:17" ht="33.5" customHeight="1" x14ac:dyDescent="0.55000000000000004">
      <c r="A1" s="51"/>
      <c r="B1" s="51"/>
      <c r="C1" s="51"/>
      <c r="D1" s="52" t="s">
        <v>49</v>
      </c>
      <c r="E1" s="51"/>
      <c r="F1" s="51"/>
      <c r="G1" s="51"/>
      <c r="H1" s="51"/>
      <c r="I1" s="51"/>
      <c r="J1" s="51"/>
      <c r="K1" s="52" t="s">
        <v>50</v>
      </c>
      <c r="L1" s="51"/>
      <c r="M1" s="51"/>
      <c r="N1" s="51"/>
      <c r="O1" s="51"/>
      <c r="P1" s="56" t="s">
        <v>21</v>
      </c>
      <c r="Q1" s="56" t="s">
        <v>55</v>
      </c>
    </row>
    <row r="2" spans="1:17" ht="34" customHeight="1" x14ac:dyDescent="0.35">
      <c r="A2" s="53" t="s">
        <v>51</v>
      </c>
      <c r="D2" s="44" t="s">
        <v>0</v>
      </c>
      <c r="E2" s="44" t="s">
        <v>1</v>
      </c>
      <c r="F2" s="44" t="s">
        <v>2</v>
      </c>
      <c r="G2" s="44" t="s">
        <v>3</v>
      </c>
      <c r="H2" s="45" t="s">
        <v>6</v>
      </c>
      <c r="I2" s="46" t="s">
        <v>43</v>
      </c>
      <c r="K2" s="44" t="s">
        <v>0</v>
      </c>
      <c r="L2" s="44" t="s">
        <v>1</v>
      </c>
      <c r="M2" s="44" t="s">
        <v>3</v>
      </c>
      <c r="N2" s="46" t="s">
        <v>12</v>
      </c>
      <c r="P2" s="13">
        <f>SUM(I:I)</f>
        <v>87925</v>
      </c>
      <c r="Q2" s="13">
        <f>SUM(N:N)</f>
        <v>132000</v>
      </c>
    </row>
    <row r="3" spans="1:17" ht="22" customHeight="1" x14ac:dyDescent="0.35">
      <c r="A3" s="1">
        <v>44537</v>
      </c>
      <c r="D3" s="1">
        <v>44538.269305555557</v>
      </c>
      <c r="E3" t="s">
        <v>36</v>
      </c>
      <c r="F3" t="s">
        <v>10</v>
      </c>
      <c r="G3" t="s">
        <v>44</v>
      </c>
      <c r="H3" t="s">
        <v>33</v>
      </c>
      <c r="I3">
        <v>5</v>
      </c>
      <c r="J3" s="54"/>
      <c r="K3" s="1">
        <v>44653.25</v>
      </c>
      <c r="L3" t="s">
        <v>29</v>
      </c>
      <c r="M3" t="s">
        <v>30</v>
      </c>
      <c r="N3">
        <v>8000</v>
      </c>
    </row>
    <row r="4" spans="1:17" ht="20.5" customHeight="1" x14ac:dyDescent="0.35">
      <c r="A4" s="53" t="s">
        <v>52</v>
      </c>
      <c r="D4" s="1">
        <v>44545.288541666669</v>
      </c>
      <c r="E4" t="s">
        <v>36</v>
      </c>
      <c r="F4" t="s">
        <v>10</v>
      </c>
      <c r="G4" t="s">
        <v>44</v>
      </c>
      <c r="H4" t="s">
        <v>33</v>
      </c>
      <c r="I4">
        <v>5</v>
      </c>
      <c r="J4" s="54"/>
      <c r="K4" s="1">
        <v>44881.375</v>
      </c>
      <c r="L4" t="s">
        <v>29</v>
      </c>
      <c r="M4" t="s">
        <v>30</v>
      </c>
      <c r="N4">
        <v>8000</v>
      </c>
    </row>
    <row r="5" spans="1:17" ht="20.5" customHeight="1" x14ac:dyDescent="0.35">
      <c r="A5" s="1">
        <v>45658</v>
      </c>
      <c r="D5" s="1">
        <v>44552.30777777778</v>
      </c>
      <c r="E5" t="s">
        <v>36</v>
      </c>
      <c r="F5" t="s">
        <v>10</v>
      </c>
      <c r="G5" t="s">
        <v>44</v>
      </c>
      <c r="H5" t="s">
        <v>33</v>
      </c>
      <c r="I5">
        <v>5</v>
      </c>
      <c r="J5" s="54"/>
      <c r="K5" s="1">
        <v>45109.5</v>
      </c>
      <c r="L5" t="s">
        <v>29</v>
      </c>
      <c r="M5" t="s">
        <v>30</v>
      </c>
      <c r="N5">
        <v>8000</v>
      </c>
    </row>
    <row r="6" spans="1:17" x14ac:dyDescent="0.35">
      <c r="A6" s="16"/>
      <c r="D6" s="1">
        <v>44559.327013888891</v>
      </c>
      <c r="E6" t="s">
        <v>36</v>
      </c>
      <c r="F6" t="s">
        <v>10</v>
      </c>
      <c r="G6" t="s">
        <v>44</v>
      </c>
      <c r="H6" t="s">
        <v>33</v>
      </c>
      <c r="I6">
        <v>5</v>
      </c>
      <c r="J6" s="54"/>
      <c r="K6" s="1">
        <v>45337.625</v>
      </c>
      <c r="L6" t="s">
        <v>29</v>
      </c>
      <c r="M6" t="s">
        <v>30</v>
      </c>
      <c r="N6">
        <v>8000</v>
      </c>
    </row>
    <row r="7" spans="1:17" x14ac:dyDescent="0.35">
      <c r="D7" s="1">
        <v>44566.346250000002</v>
      </c>
      <c r="E7" t="s">
        <v>36</v>
      </c>
      <c r="F7" t="s">
        <v>10</v>
      </c>
      <c r="G7" t="s">
        <v>44</v>
      </c>
      <c r="H7" t="s">
        <v>33</v>
      </c>
      <c r="I7">
        <v>5</v>
      </c>
      <c r="J7" s="54"/>
      <c r="K7" s="1">
        <v>45565.75</v>
      </c>
      <c r="L7" t="s">
        <v>29</v>
      </c>
      <c r="M7" t="s">
        <v>30</v>
      </c>
      <c r="N7">
        <v>8000</v>
      </c>
    </row>
    <row r="8" spans="1:17" x14ac:dyDescent="0.35">
      <c r="D8" s="1">
        <v>44573.365486111114</v>
      </c>
      <c r="E8" t="s">
        <v>36</v>
      </c>
      <c r="F8" t="s">
        <v>10</v>
      </c>
      <c r="G8" t="s">
        <v>44</v>
      </c>
      <c r="H8" t="s">
        <v>33</v>
      </c>
      <c r="I8">
        <v>5</v>
      </c>
      <c r="J8" s="54"/>
      <c r="K8" s="1">
        <v>44562</v>
      </c>
      <c r="L8" t="s">
        <v>70</v>
      </c>
      <c r="M8" t="s">
        <v>72</v>
      </c>
      <c r="N8">
        <v>17000</v>
      </c>
    </row>
    <row r="9" spans="1:17" x14ac:dyDescent="0.35">
      <c r="D9" s="1">
        <v>44580.384722222225</v>
      </c>
      <c r="E9" t="s">
        <v>36</v>
      </c>
      <c r="F9" t="s">
        <v>10</v>
      </c>
      <c r="G9" t="s">
        <v>44</v>
      </c>
      <c r="H9" t="s">
        <v>33</v>
      </c>
      <c r="I9">
        <v>5</v>
      </c>
      <c r="J9" s="54"/>
      <c r="K9" s="1">
        <v>44866.166666666664</v>
      </c>
      <c r="L9" t="s">
        <v>70</v>
      </c>
      <c r="M9" t="s">
        <v>72</v>
      </c>
      <c r="N9">
        <v>17000</v>
      </c>
    </row>
    <row r="10" spans="1:17" x14ac:dyDescent="0.35">
      <c r="D10" s="1">
        <v>44587.403958333336</v>
      </c>
      <c r="E10" t="s">
        <v>36</v>
      </c>
      <c r="F10" t="s">
        <v>10</v>
      </c>
      <c r="G10" t="s">
        <v>44</v>
      </c>
      <c r="H10" t="s">
        <v>33</v>
      </c>
      <c r="I10">
        <v>5</v>
      </c>
      <c r="J10" s="54"/>
      <c r="K10" s="1">
        <v>45170.333333333336</v>
      </c>
      <c r="L10" t="s">
        <v>70</v>
      </c>
      <c r="M10" t="s">
        <v>72</v>
      </c>
      <c r="N10">
        <v>17000</v>
      </c>
    </row>
    <row r="11" spans="1:17" x14ac:dyDescent="0.35">
      <c r="D11" s="1">
        <v>44594.423194444447</v>
      </c>
      <c r="E11" t="s">
        <v>36</v>
      </c>
      <c r="F11" t="s">
        <v>10</v>
      </c>
      <c r="G11" t="s">
        <v>44</v>
      </c>
      <c r="H11" t="s">
        <v>33</v>
      </c>
      <c r="I11">
        <v>5</v>
      </c>
      <c r="J11" s="54"/>
      <c r="K11" s="1">
        <v>45474.5</v>
      </c>
      <c r="L11" t="s">
        <v>70</v>
      </c>
      <c r="M11" t="s">
        <v>72</v>
      </c>
      <c r="N11">
        <v>17000</v>
      </c>
    </row>
    <row r="12" spans="1:17" x14ac:dyDescent="0.35">
      <c r="D12" s="1">
        <v>44601.442430555559</v>
      </c>
      <c r="E12" t="s">
        <v>36</v>
      </c>
      <c r="F12" t="s">
        <v>10</v>
      </c>
      <c r="G12" t="s">
        <v>44</v>
      </c>
      <c r="H12" t="s">
        <v>33</v>
      </c>
      <c r="I12">
        <v>5</v>
      </c>
      <c r="J12" s="54"/>
      <c r="K12" s="1">
        <v>44547.961516203701</v>
      </c>
      <c r="L12" t="s">
        <v>28</v>
      </c>
      <c r="M12" t="s">
        <v>73</v>
      </c>
      <c r="N12">
        <v>300</v>
      </c>
    </row>
    <row r="13" spans="1:17" x14ac:dyDescent="0.35">
      <c r="D13" s="1">
        <v>44608.46166666667</v>
      </c>
      <c r="E13" t="s">
        <v>36</v>
      </c>
      <c r="F13" t="s">
        <v>10</v>
      </c>
      <c r="G13" t="s">
        <v>44</v>
      </c>
      <c r="H13" t="s">
        <v>33</v>
      </c>
      <c r="I13">
        <v>5</v>
      </c>
      <c r="J13" s="54"/>
      <c r="K13" s="1">
        <v>44561.999976851854</v>
      </c>
      <c r="L13" t="s">
        <v>28</v>
      </c>
      <c r="M13" t="s">
        <v>73</v>
      </c>
      <c r="N13">
        <v>300</v>
      </c>
    </row>
    <row r="14" spans="1:17" x14ac:dyDescent="0.35">
      <c r="D14" s="1">
        <v>44615.480902777781</v>
      </c>
      <c r="E14" t="s">
        <v>36</v>
      </c>
      <c r="F14" t="s">
        <v>10</v>
      </c>
      <c r="G14" t="s">
        <v>44</v>
      </c>
      <c r="H14" t="s">
        <v>33</v>
      </c>
      <c r="I14">
        <v>5</v>
      </c>
      <c r="J14" s="54"/>
      <c r="K14" s="1">
        <v>44576.038437499999</v>
      </c>
      <c r="L14" t="s">
        <v>28</v>
      </c>
      <c r="M14" t="s">
        <v>73</v>
      </c>
      <c r="N14">
        <v>300</v>
      </c>
    </row>
    <row r="15" spans="1:17" x14ac:dyDescent="0.35">
      <c r="D15" s="1">
        <v>44622.500138888892</v>
      </c>
      <c r="E15" t="s">
        <v>36</v>
      </c>
      <c r="F15" t="s">
        <v>10</v>
      </c>
      <c r="G15" t="s">
        <v>44</v>
      </c>
      <c r="H15" t="s">
        <v>33</v>
      </c>
      <c r="I15">
        <v>5</v>
      </c>
      <c r="J15" s="54"/>
      <c r="K15" s="1">
        <v>44590.076898148145</v>
      </c>
      <c r="L15" t="s">
        <v>28</v>
      </c>
      <c r="M15" t="s">
        <v>73</v>
      </c>
      <c r="N15">
        <v>300</v>
      </c>
    </row>
    <row r="16" spans="1:17" x14ac:dyDescent="0.35">
      <c r="D16" s="1">
        <v>44629.519375000003</v>
      </c>
      <c r="E16" t="s">
        <v>36</v>
      </c>
      <c r="F16" t="s">
        <v>10</v>
      </c>
      <c r="G16" t="s">
        <v>44</v>
      </c>
      <c r="H16" t="s">
        <v>33</v>
      </c>
      <c r="I16">
        <v>5</v>
      </c>
      <c r="J16" s="54"/>
      <c r="K16" s="1">
        <v>44604.115358796298</v>
      </c>
      <c r="L16" t="s">
        <v>28</v>
      </c>
      <c r="M16" t="s">
        <v>73</v>
      </c>
      <c r="N16">
        <v>300</v>
      </c>
    </row>
    <row r="17" spans="4:14" x14ac:dyDescent="0.35">
      <c r="D17" s="1">
        <v>44636.538611111115</v>
      </c>
      <c r="E17" t="s">
        <v>36</v>
      </c>
      <c r="F17" t="s">
        <v>10</v>
      </c>
      <c r="G17" t="s">
        <v>44</v>
      </c>
      <c r="H17" t="s">
        <v>33</v>
      </c>
      <c r="I17">
        <v>5</v>
      </c>
      <c r="J17" s="54"/>
      <c r="K17" s="1">
        <v>44618.153819444444</v>
      </c>
      <c r="L17" t="s">
        <v>28</v>
      </c>
      <c r="M17" t="s">
        <v>73</v>
      </c>
      <c r="N17">
        <v>300</v>
      </c>
    </row>
    <row r="18" spans="4:14" x14ac:dyDescent="0.35">
      <c r="D18" s="1">
        <v>44643.557847222219</v>
      </c>
      <c r="E18" t="s">
        <v>36</v>
      </c>
      <c r="F18" t="s">
        <v>10</v>
      </c>
      <c r="G18" t="s">
        <v>44</v>
      </c>
      <c r="H18" t="s">
        <v>33</v>
      </c>
      <c r="I18">
        <v>5</v>
      </c>
      <c r="J18" s="54"/>
      <c r="K18" s="1">
        <v>44632.192280092589</v>
      </c>
      <c r="L18" t="s">
        <v>28</v>
      </c>
      <c r="M18" t="s">
        <v>73</v>
      </c>
      <c r="N18">
        <v>300</v>
      </c>
    </row>
    <row r="19" spans="4:14" x14ac:dyDescent="0.35">
      <c r="D19" s="1">
        <v>44650.57708333333</v>
      </c>
      <c r="E19" t="s">
        <v>36</v>
      </c>
      <c r="F19" t="s">
        <v>10</v>
      </c>
      <c r="G19" t="s">
        <v>44</v>
      </c>
      <c r="H19" t="s">
        <v>33</v>
      </c>
      <c r="I19">
        <v>5</v>
      </c>
      <c r="J19" s="54"/>
      <c r="K19" s="1">
        <v>44646.230740740742</v>
      </c>
      <c r="L19" t="s">
        <v>28</v>
      </c>
      <c r="M19" t="s">
        <v>73</v>
      </c>
      <c r="N19">
        <v>300</v>
      </c>
    </row>
    <row r="20" spans="4:14" x14ac:dyDescent="0.35">
      <c r="D20" s="1">
        <v>44657.596319444441</v>
      </c>
      <c r="E20" t="s">
        <v>36</v>
      </c>
      <c r="F20" t="s">
        <v>10</v>
      </c>
      <c r="G20" t="s">
        <v>44</v>
      </c>
      <c r="H20" t="s">
        <v>33</v>
      </c>
      <c r="I20">
        <v>5</v>
      </c>
      <c r="J20" s="54"/>
      <c r="K20" s="1">
        <v>44660.269201388888</v>
      </c>
      <c r="L20" t="s">
        <v>28</v>
      </c>
      <c r="M20" t="s">
        <v>73</v>
      </c>
      <c r="N20">
        <v>300</v>
      </c>
    </row>
    <row r="21" spans="4:14" x14ac:dyDescent="0.35">
      <c r="D21" s="1">
        <v>44664.615555555552</v>
      </c>
      <c r="E21" t="s">
        <v>36</v>
      </c>
      <c r="F21" t="s">
        <v>10</v>
      </c>
      <c r="G21" t="s">
        <v>44</v>
      </c>
      <c r="H21" t="s">
        <v>33</v>
      </c>
      <c r="I21">
        <v>5</v>
      </c>
      <c r="J21" s="54"/>
      <c r="K21" s="1">
        <v>44674.307662037034</v>
      </c>
      <c r="L21" t="s">
        <v>28</v>
      </c>
      <c r="M21" t="s">
        <v>73</v>
      </c>
      <c r="N21">
        <v>300</v>
      </c>
    </row>
    <row r="22" spans="4:14" x14ac:dyDescent="0.35">
      <c r="D22" s="1">
        <v>44671.634791666664</v>
      </c>
      <c r="E22" t="s">
        <v>36</v>
      </c>
      <c r="F22" t="s">
        <v>10</v>
      </c>
      <c r="G22" t="s">
        <v>44</v>
      </c>
      <c r="H22" t="s">
        <v>33</v>
      </c>
      <c r="I22">
        <v>5</v>
      </c>
      <c r="J22" s="54"/>
      <c r="K22" s="1">
        <v>44688.346122685187</v>
      </c>
      <c r="L22" t="s">
        <v>28</v>
      </c>
      <c r="M22" t="s">
        <v>73</v>
      </c>
      <c r="N22">
        <v>300</v>
      </c>
    </row>
    <row r="23" spans="4:14" x14ac:dyDescent="0.35">
      <c r="D23" s="1">
        <v>44678.654027777775</v>
      </c>
      <c r="E23" t="s">
        <v>36</v>
      </c>
      <c r="F23" t="s">
        <v>10</v>
      </c>
      <c r="G23" t="s">
        <v>44</v>
      </c>
      <c r="H23" t="s">
        <v>33</v>
      </c>
      <c r="I23">
        <v>5</v>
      </c>
      <c r="J23" s="54"/>
      <c r="K23" s="1">
        <v>44702.384583333333</v>
      </c>
      <c r="L23" t="s">
        <v>28</v>
      </c>
      <c r="M23" t="s">
        <v>73</v>
      </c>
      <c r="N23">
        <v>300</v>
      </c>
    </row>
    <row r="24" spans="4:14" x14ac:dyDescent="0.35">
      <c r="D24" s="1">
        <v>44685.673263888886</v>
      </c>
      <c r="E24" t="s">
        <v>36</v>
      </c>
      <c r="F24" t="s">
        <v>10</v>
      </c>
      <c r="G24" t="s">
        <v>44</v>
      </c>
      <c r="H24" t="s">
        <v>33</v>
      </c>
      <c r="I24">
        <v>5</v>
      </c>
      <c r="J24" s="54"/>
      <c r="K24" s="1">
        <v>44716.423043981478</v>
      </c>
      <c r="L24" t="s">
        <v>28</v>
      </c>
      <c r="M24" t="s">
        <v>73</v>
      </c>
      <c r="N24">
        <v>300</v>
      </c>
    </row>
    <row r="25" spans="4:14" x14ac:dyDescent="0.35">
      <c r="D25" s="1">
        <v>44692.692499999997</v>
      </c>
      <c r="E25" t="s">
        <v>36</v>
      </c>
      <c r="F25" t="s">
        <v>10</v>
      </c>
      <c r="G25" t="s">
        <v>44</v>
      </c>
      <c r="H25" t="s">
        <v>33</v>
      </c>
      <c r="I25">
        <v>5</v>
      </c>
      <c r="J25" s="54"/>
      <c r="K25" s="1">
        <v>44730.461504629631</v>
      </c>
      <c r="L25" t="s">
        <v>28</v>
      </c>
      <c r="M25" t="s">
        <v>73</v>
      </c>
      <c r="N25">
        <v>300</v>
      </c>
    </row>
    <row r="26" spans="4:14" x14ac:dyDescent="0.35">
      <c r="D26" s="1">
        <v>44699.711736111109</v>
      </c>
      <c r="E26" t="s">
        <v>36</v>
      </c>
      <c r="F26" t="s">
        <v>10</v>
      </c>
      <c r="G26" t="s">
        <v>44</v>
      </c>
      <c r="H26" t="s">
        <v>33</v>
      </c>
      <c r="I26">
        <v>5</v>
      </c>
      <c r="J26" s="54"/>
      <c r="K26" s="1">
        <v>44744.499965277777</v>
      </c>
      <c r="L26" t="s">
        <v>28</v>
      </c>
      <c r="M26" t="s">
        <v>73</v>
      </c>
      <c r="N26">
        <v>300</v>
      </c>
    </row>
    <row r="27" spans="4:14" x14ac:dyDescent="0.35">
      <c r="D27" s="1">
        <v>44706.73097222222</v>
      </c>
      <c r="E27" t="s">
        <v>36</v>
      </c>
      <c r="F27" t="s">
        <v>10</v>
      </c>
      <c r="G27" t="s">
        <v>44</v>
      </c>
      <c r="H27" t="s">
        <v>33</v>
      </c>
      <c r="I27">
        <v>5</v>
      </c>
      <c r="J27" s="54"/>
      <c r="K27" s="1">
        <v>44758.538425925923</v>
      </c>
      <c r="L27" t="s">
        <v>28</v>
      </c>
      <c r="M27" t="s">
        <v>73</v>
      </c>
      <c r="N27">
        <v>300</v>
      </c>
    </row>
    <row r="28" spans="4:14" x14ac:dyDescent="0.35">
      <c r="D28" s="1">
        <v>44713.750208333331</v>
      </c>
      <c r="E28" t="s">
        <v>36</v>
      </c>
      <c r="F28" t="s">
        <v>10</v>
      </c>
      <c r="G28" t="s">
        <v>44</v>
      </c>
      <c r="H28" t="s">
        <v>33</v>
      </c>
      <c r="I28">
        <v>5</v>
      </c>
      <c r="J28" s="54"/>
      <c r="K28" s="1">
        <v>44772.576886574076</v>
      </c>
      <c r="L28" t="s">
        <v>28</v>
      </c>
      <c r="M28" t="s">
        <v>73</v>
      </c>
      <c r="N28">
        <v>300</v>
      </c>
    </row>
    <row r="29" spans="4:14" x14ac:dyDescent="0.35">
      <c r="D29" s="1">
        <v>44720.769444444442</v>
      </c>
      <c r="E29" t="s">
        <v>36</v>
      </c>
      <c r="F29" t="s">
        <v>10</v>
      </c>
      <c r="G29" t="s">
        <v>44</v>
      </c>
      <c r="H29" t="s">
        <v>33</v>
      </c>
      <c r="I29">
        <v>5</v>
      </c>
      <c r="J29" s="54"/>
      <c r="K29" s="1">
        <v>44786.615347222221</v>
      </c>
      <c r="L29" t="s">
        <v>28</v>
      </c>
      <c r="M29" t="s">
        <v>73</v>
      </c>
      <c r="N29">
        <v>300</v>
      </c>
    </row>
    <row r="30" spans="4:14" x14ac:dyDescent="0.35">
      <c r="D30" s="1">
        <v>44727.788680555554</v>
      </c>
      <c r="E30" t="s">
        <v>36</v>
      </c>
      <c r="F30" t="s">
        <v>10</v>
      </c>
      <c r="G30" t="s">
        <v>44</v>
      </c>
      <c r="H30" t="s">
        <v>33</v>
      </c>
      <c r="I30">
        <v>5</v>
      </c>
      <c r="J30" s="54"/>
      <c r="K30" s="1">
        <v>44800.653807870367</v>
      </c>
      <c r="L30" t="s">
        <v>28</v>
      </c>
      <c r="M30" t="s">
        <v>73</v>
      </c>
      <c r="N30">
        <v>300</v>
      </c>
    </row>
    <row r="31" spans="4:14" x14ac:dyDescent="0.35">
      <c r="D31" s="1">
        <v>44734.807916666665</v>
      </c>
      <c r="E31" t="s">
        <v>36</v>
      </c>
      <c r="F31" t="s">
        <v>10</v>
      </c>
      <c r="G31" t="s">
        <v>44</v>
      </c>
      <c r="H31" t="s">
        <v>33</v>
      </c>
      <c r="I31">
        <v>5</v>
      </c>
      <c r="J31" s="54"/>
      <c r="K31" s="1">
        <v>44814.69226851852</v>
      </c>
      <c r="L31" t="s">
        <v>28</v>
      </c>
      <c r="M31" t="s">
        <v>73</v>
      </c>
      <c r="N31">
        <v>300</v>
      </c>
    </row>
    <row r="32" spans="4:14" x14ac:dyDescent="0.35">
      <c r="D32" s="1">
        <v>44741.827152777776</v>
      </c>
      <c r="E32" t="s">
        <v>36</v>
      </c>
      <c r="F32" t="s">
        <v>10</v>
      </c>
      <c r="G32" t="s">
        <v>44</v>
      </c>
      <c r="H32" t="s">
        <v>33</v>
      </c>
      <c r="I32">
        <v>5</v>
      </c>
      <c r="J32" s="54"/>
      <c r="K32" s="1">
        <v>44828.730729166666</v>
      </c>
      <c r="L32" t="s">
        <v>28</v>
      </c>
      <c r="M32" t="s">
        <v>73</v>
      </c>
      <c r="N32">
        <v>300</v>
      </c>
    </row>
    <row r="33" spans="4:14" x14ac:dyDescent="0.35">
      <c r="D33" s="1">
        <v>44748.846388888887</v>
      </c>
      <c r="E33" t="s">
        <v>36</v>
      </c>
      <c r="F33" t="s">
        <v>10</v>
      </c>
      <c r="G33" t="s">
        <v>44</v>
      </c>
      <c r="H33" t="s">
        <v>33</v>
      </c>
      <c r="I33">
        <v>5</v>
      </c>
      <c r="J33" s="54"/>
      <c r="K33" s="1">
        <v>44842.769189814811</v>
      </c>
      <c r="L33" t="s">
        <v>28</v>
      </c>
      <c r="M33" t="s">
        <v>73</v>
      </c>
      <c r="N33">
        <v>300</v>
      </c>
    </row>
    <row r="34" spans="4:14" x14ac:dyDescent="0.35">
      <c r="D34" s="1">
        <v>44755.865624999999</v>
      </c>
      <c r="E34" t="s">
        <v>36</v>
      </c>
      <c r="F34" t="s">
        <v>10</v>
      </c>
      <c r="G34" t="s">
        <v>44</v>
      </c>
      <c r="H34" t="s">
        <v>33</v>
      </c>
      <c r="I34">
        <v>5</v>
      </c>
      <c r="J34" s="54"/>
      <c r="K34" s="1">
        <v>44856.807650462964</v>
      </c>
      <c r="L34" t="s">
        <v>28</v>
      </c>
      <c r="M34" t="s">
        <v>73</v>
      </c>
      <c r="N34">
        <v>300</v>
      </c>
    </row>
    <row r="35" spans="4:14" x14ac:dyDescent="0.35">
      <c r="D35" s="1">
        <v>44762.88486111111</v>
      </c>
      <c r="E35" t="s">
        <v>36</v>
      </c>
      <c r="F35" t="s">
        <v>10</v>
      </c>
      <c r="G35" t="s">
        <v>44</v>
      </c>
      <c r="H35" t="s">
        <v>33</v>
      </c>
      <c r="I35">
        <v>5</v>
      </c>
      <c r="J35" s="54"/>
      <c r="K35" s="1">
        <v>44870.84611111111</v>
      </c>
      <c r="L35" t="s">
        <v>28</v>
      </c>
      <c r="M35" t="s">
        <v>73</v>
      </c>
      <c r="N35">
        <v>300</v>
      </c>
    </row>
    <row r="36" spans="4:14" x14ac:dyDescent="0.35">
      <c r="D36" s="1">
        <v>44769.904097222221</v>
      </c>
      <c r="E36" t="s">
        <v>36</v>
      </c>
      <c r="F36" t="s">
        <v>10</v>
      </c>
      <c r="G36" t="s">
        <v>44</v>
      </c>
      <c r="H36" t="s">
        <v>33</v>
      </c>
      <c r="I36">
        <v>5</v>
      </c>
      <c r="J36" s="54"/>
      <c r="K36" s="1">
        <v>44884.884571759256</v>
      </c>
      <c r="L36" t="s">
        <v>28</v>
      </c>
      <c r="M36" t="s">
        <v>73</v>
      </c>
      <c r="N36">
        <v>300</v>
      </c>
    </row>
    <row r="37" spans="4:14" x14ac:dyDescent="0.35">
      <c r="D37" s="1">
        <v>44776.923333333332</v>
      </c>
      <c r="E37" t="s">
        <v>36</v>
      </c>
      <c r="F37" t="s">
        <v>10</v>
      </c>
      <c r="G37" t="s">
        <v>44</v>
      </c>
      <c r="H37" t="s">
        <v>33</v>
      </c>
      <c r="I37">
        <v>5</v>
      </c>
      <c r="J37" s="54"/>
      <c r="K37" s="1">
        <v>44898.923032407409</v>
      </c>
      <c r="L37" t="s">
        <v>28</v>
      </c>
      <c r="M37" t="s">
        <v>73</v>
      </c>
      <c r="N37">
        <v>300</v>
      </c>
    </row>
    <row r="38" spans="4:14" x14ac:dyDescent="0.35">
      <c r="D38" s="1">
        <v>44783.942569444444</v>
      </c>
      <c r="E38" t="s">
        <v>36</v>
      </c>
      <c r="F38" t="s">
        <v>10</v>
      </c>
      <c r="G38" t="s">
        <v>44</v>
      </c>
      <c r="H38" t="s">
        <v>33</v>
      </c>
      <c r="I38">
        <v>5</v>
      </c>
      <c r="J38" s="54"/>
      <c r="K38" s="1">
        <v>44912.961493055554</v>
      </c>
      <c r="L38" t="s">
        <v>28</v>
      </c>
      <c r="M38" t="s">
        <v>73</v>
      </c>
      <c r="N38">
        <v>300</v>
      </c>
    </row>
    <row r="39" spans="4:14" x14ac:dyDescent="0.35">
      <c r="D39" s="1">
        <v>44790.961805555555</v>
      </c>
      <c r="E39" t="s">
        <v>36</v>
      </c>
      <c r="F39" t="s">
        <v>10</v>
      </c>
      <c r="G39" t="s">
        <v>44</v>
      </c>
      <c r="H39" t="s">
        <v>33</v>
      </c>
      <c r="I39">
        <v>5</v>
      </c>
      <c r="J39" s="54"/>
      <c r="K39" s="1">
        <v>44926.9999537037</v>
      </c>
      <c r="L39" t="s">
        <v>28</v>
      </c>
      <c r="M39" t="s">
        <v>73</v>
      </c>
      <c r="N39">
        <v>300</v>
      </c>
    </row>
    <row r="40" spans="4:14" x14ac:dyDescent="0.35">
      <c r="D40" s="1">
        <v>44797.981041666666</v>
      </c>
      <c r="E40" t="s">
        <v>36</v>
      </c>
      <c r="F40" t="s">
        <v>10</v>
      </c>
      <c r="G40" t="s">
        <v>44</v>
      </c>
      <c r="H40" t="s">
        <v>33</v>
      </c>
      <c r="I40">
        <v>5</v>
      </c>
      <c r="J40" s="54"/>
      <c r="K40" s="1">
        <v>44941.038414351853</v>
      </c>
      <c r="L40" t="s">
        <v>28</v>
      </c>
      <c r="M40" t="s">
        <v>73</v>
      </c>
      <c r="N40">
        <v>300</v>
      </c>
    </row>
    <row r="41" spans="4:14" x14ac:dyDescent="0.35">
      <c r="D41" s="1">
        <v>44805.000277777777</v>
      </c>
      <c r="E41" t="s">
        <v>36</v>
      </c>
      <c r="F41" t="s">
        <v>10</v>
      </c>
      <c r="G41" t="s">
        <v>44</v>
      </c>
      <c r="H41" t="s">
        <v>33</v>
      </c>
      <c r="I41">
        <v>5</v>
      </c>
      <c r="J41" s="54"/>
      <c r="K41" s="1">
        <v>44955.076874999999</v>
      </c>
      <c r="L41" t="s">
        <v>28</v>
      </c>
      <c r="M41" t="s">
        <v>73</v>
      </c>
      <c r="N41">
        <v>300</v>
      </c>
    </row>
    <row r="42" spans="4:14" x14ac:dyDescent="0.35">
      <c r="D42" s="1">
        <v>44812.019513888888</v>
      </c>
      <c r="E42" t="s">
        <v>36</v>
      </c>
      <c r="F42" t="s">
        <v>10</v>
      </c>
      <c r="G42" t="s">
        <v>44</v>
      </c>
      <c r="H42" t="s">
        <v>33</v>
      </c>
      <c r="I42">
        <v>5</v>
      </c>
      <c r="J42" s="54"/>
      <c r="K42" s="1">
        <v>44969.115335648145</v>
      </c>
      <c r="L42" t="s">
        <v>28</v>
      </c>
      <c r="M42" t="s">
        <v>73</v>
      </c>
      <c r="N42">
        <v>300</v>
      </c>
    </row>
    <row r="43" spans="4:14" x14ac:dyDescent="0.35">
      <c r="D43" s="1">
        <v>44819.03875</v>
      </c>
      <c r="E43" t="s">
        <v>36</v>
      </c>
      <c r="F43" t="s">
        <v>10</v>
      </c>
      <c r="G43" t="s">
        <v>44</v>
      </c>
      <c r="H43" t="s">
        <v>33</v>
      </c>
      <c r="I43">
        <v>5</v>
      </c>
      <c r="J43" s="54"/>
      <c r="K43" s="1">
        <v>44983.153796296298</v>
      </c>
      <c r="L43" t="s">
        <v>28</v>
      </c>
      <c r="M43" t="s">
        <v>73</v>
      </c>
      <c r="N43">
        <v>300</v>
      </c>
    </row>
    <row r="44" spans="4:14" x14ac:dyDescent="0.35">
      <c r="D44" s="1">
        <v>44826.057986111111</v>
      </c>
      <c r="E44" t="s">
        <v>36</v>
      </c>
      <c r="F44" t="s">
        <v>10</v>
      </c>
      <c r="G44" t="s">
        <v>44</v>
      </c>
      <c r="H44" t="s">
        <v>33</v>
      </c>
      <c r="I44">
        <v>5</v>
      </c>
      <c r="J44" s="54"/>
      <c r="K44" s="1">
        <v>44997.192256944443</v>
      </c>
      <c r="L44" t="s">
        <v>28</v>
      </c>
      <c r="M44" t="s">
        <v>73</v>
      </c>
      <c r="N44">
        <v>300</v>
      </c>
    </row>
    <row r="45" spans="4:14" x14ac:dyDescent="0.35">
      <c r="D45" s="1">
        <v>44833.077222222222</v>
      </c>
      <c r="E45" t="s">
        <v>36</v>
      </c>
      <c r="F45" t="s">
        <v>10</v>
      </c>
      <c r="G45" t="s">
        <v>44</v>
      </c>
      <c r="H45" t="s">
        <v>33</v>
      </c>
      <c r="I45">
        <v>5</v>
      </c>
      <c r="J45" s="54"/>
      <c r="K45" s="1">
        <v>45011.230717592596</v>
      </c>
      <c r="L45" t="s">
        <v>28</v>
      </c>
      <c r="M45" t="s">
        <v>73</v>
      </c>
      <c r="N45">
        <v>300</v>
      </c>
    </row>
    <row r="46" spans="4:14" x14ac:dyDescent="0.35">
      <c r="D46" s="1">
        <v>44840.096458333333</v>
      </c>
      <c r="E46" t="s">
        <v>36</v>
      </c>
      <c r="F46" t="s">
        <v>10</v>
      </c>
      <c r="G46" t="s">
        <v>44</v>
      </c>
      <c r="H46" t="s">
        <v>33</v>
      </c>
      <c r="I46">
        <v>5</v>
      </c>
      <c r="J46" s="54"/>
      <c r="K46" s="1">
        <v>45025.269178240742</v>
      </c>
      <c r="L46" t="s">
        <v>28</v>
      </c>
      <c r="M46" t="s">
        <v>73</v>
      </c>
      <c r="N46">
        <v>300</v>
      </c>
    </row>
    <row r="47" spans="4:14" x14ac:dyDescent="0.35">
      <c r="D47" s="1">
        <v>44847.115694444445</v>
      </c>
      <c r="E47" t="s">
        <v>36</v>
      </c>
      <c r="F47" t="s">
        <v>10</v>
      </c>
      <c r="G47" t="s">
        <v>44</v>
      </c>
      <c r="H47" t="s">
        <v>33</v>
      </c>
      <c r="I47">
        <v>5</v>
      </c>
      <c r="J47" s="54"/>
      <c r="K47" s="1">
        <v>45039.307638888888</v>
      </c>
      <c r="L47" t="s">
        <v>28</v>
      </c>
      <c r="M47" t="s">
        <v>73</v>
      </c>
      <c r="N47">
        <v>300</v>
      </c>
    </row>
    <row r="48" spans="4:14" x14ac:dyDescent="0.35">
      <c r="D48" s="1">
        <v>44854.134930555556</v>
      </c>
      <c r="E48" t="s">
        <v>36</v>
      </c>
      <c r="F48" t="s">
        <v>10</v>
      </c>
      <c r="G48" t="s">
        <v>44</v>
      </c>
      <c r="H48" t="s">
        <v>33</v>
      </c>
      <c r="I48">
        <v>5</v>
      </c>
      <c r="J48" s="54"/>
      <c r="K48" s="1">
        <v>45053.346099537041</v>
      </c>
      <c r="L48" t="s">
        <v>28</v>
      </c>
      <c r="M48" t="s">
        <v>73</v>
      </c>
      <c r="N48">
        <v>300</v>
      </c>
    </row>
    <row r="49" spans="4:14" x14ac:dyDescent="0.35">
      <c r="D49" s="1">
        <v>44861.154166666667</v>
      </c>
      <c r="E49" t="s">
        <v>36</v>
      </c>
      <c r="F49" t="s">
        <v>10</v>
      </c>
      <c r="G49" t="s">
        <v>44</v>
      </c>
      <c r="H49" t="s">
        <v>33</v>
      </c>
      <c r="I49">
        <v>5</v>
      </c>
      <c r="J49" s="54"/>
      <c r="K49" s="1">
        <v>45067.384560185186</v>
      </c>
      <c r="L49" t="s">
        <v>28</v>
      </c>
      <c r="M49" t="s">
        <v>73</v>
      </c>
      <c r="N49">
        <v>300</v>
      </c>
    </row>
    <row r="50" spans="4:14" x14ac:dyDescent="0.35">
      <c r="D50" s="1">
        <v>44868.173402777778</v>
      </c>
      <c r="E50" t="s">
        <v>36</v>
      </c>
      <c r="F50" t="s">
        <v>10</v>
      </c>
      <c r="G50" t="s">
        <v>44</v>
      </c>
      <c r="H50" t="s">
        <v>33</v>
      </c>
      <c r="I50">
        <v>5</v>
      </c>
      <c r="J50" s="54"/>
      <c r="K50" s="1">
        <v>45081.423020833332</v>
      </c>
      <c r="L50" t="s">
        <v>28</v>
      </c>
      <c r="M50" t="s">
        <v>73</v>
      </c>
      <c r="N50">
        <v>300</v>
      </c>
    </row>
    <row r="51" spans="4:14" x14ac:dyDescent="0.35">
      <c r="D51" s="1">
        <v>44875.19263888889</v>
      </c>
      <c r="E51" t="s">
        <v>36</v>
      </c>
      <c r="F51" t="s">
        <v>10</v>
      </c>
      <c r="G51" t="s">
        <v>44</v>
      </c>
      <c r="H51" t="s">
        <v>33</v>
      </c>
      <c r="I51">
        <v>5</v>
      </c>
      <c r="J51" s="54"/>
      <c r="K51" s="1">
        <v>45095.461481481485</v>
      </c>
      <c r="L51" t="s">
        <v>28</v>
      </c>
      <c r="M51" t="s">
        <v>73</v>
      </c>
      <c r="N51">
        <v>300</v>
      </c>
    </row>
    <row r="52" spans="4:14" x14ac:dyDescent="0.35">
      <c r="D52" s="1">
        <v>44882.211875000001</v>
      </c>
      <c r="E52" t="s">
        <v>36</v>
      </c>
      <c r="F52" t="s">
        <v>10</v>
      </c>
      <c r="G52" t="s">
        <v>44</v>
      </c>
      <c r="H52" t="s">
        <v>33</v>
      </c>
      <c r="I52">
        <v>5</v>
      </c>
      <c r="J52" s="54"/>
      <c r="K52" s="1">
        <v>45109.499942129631</v>
      </c>
      <c r="L52" t="s">
        <v>28</v>
      </c>
      <c r="M52" t="s">
        <v>73</v>
      </c>
      <c r="N52">
        <v>300</v>
      </c>
    </row>
    <row r="53" spans="4:14" x14ac:dyDescent="0.35">
      <c r="D53" s="1">
        <v>44889.231111111112</v>
      </c>
      <c r="E53" t="s">
        <v>36</v>
      </c>
      <c r="F53" t="s">
        <v>10</v>
      </c>
      <c r="G53" t="s">
        <v>44</v>
      </c>
      <c r="H53" t="s">
        <v>33</v>
      </c>
      <c r="I53">
        <v>5</v>
      </c>
      <c r="J53" s="54"/>
      <c r="K53" s="1">
        <v>45123.538402777776</v>
      </c>
      <c r="L53" t="s">
        <v>28</v>
      </c>
      <c r="M53" t="s">
        <v>73</v>
      </c>
      <c r="N53">
        <v>300</v>
      </c>
    </row>
    <row r="54" spans="4:14" x14ac:dyDescent="0.35">
      <c r="D54" s="1">
        <v>44896.250347222223</v>
      </c>
      <c r="E54" t="s">
        <v>36</v>
      </c>
      <c r="F54" t="s">
        <v>10</v>
      </c>
      <c r="G54" t="s">
        <v>44</v>
      </c>
      <c r="H54" t="s">
        <v>33</v>
      </c>
      <c r="I54">
        <v>5</v>
      </c>
      <c r="J54" s="54"/>
      <c r="K54" s="1">
        <v>45137.576863425929</v>
      </c>
      <c r="L54" t="s">
        <v>28</v>
      </c>
      <c r="M54" t="s">
        <v>73</v>
      </c>
      <c r="N54">
        <v>300</v>
      </c>
    </row>
    <row r="55" spans="4:14" x14ac:dyDescent="0.35">
      <c r="D55" s="1">
        <v>44903.269583333335</v>
      </c>
      <c r="E55" t="s">
        <v>36</v>
      </c>
      <c r="F55" t="s">
        <v>10</v>
      </c>
      <c r="G55" t="s">
        <v>44</v>
      </c>
      <c r="H55" t="s">
        <v>33</v>
      </c>
      <c r="I55">
        <v>5</v>
      </c>
      <c r="J55" s="54"/>
      <c r="K55" s="1">
        <v>45151.615324074075</v>
      </c>
      <c r="L55" t="s">
        <v>28</v>
      </c>
      <c r="M55" t="s">
        <v>73</v>
      </c>
      <c r="N55">
        <v>300</v>
      </c>
    </row>
    <row r="56" spans="4:14" x14ac:dyDescent="0.35">
      <c r="D56" s="1">
        <v>44910.288819444446</v>
      </c>
      <c r="E56" t="s">
        <v>36</v>
      </c>
      <c r="F56" t="s">
        <v>10</v>
      </c>
      <c r="G56" t="s">
        <v>44</v>
      </c>
      <c r="H56" t="s">
        <v>33</v>
      </c>
      <c r="I56">
        <v>5</v>
      </c>
      <c r="J56" s="54"/>
      <c r="K56" s="1">
        <v>45165.653784722221</v>
      </c>
      <c r="L56" t="s">
        <v>28</v>
      </c>
      <c r="M56" t="s">
        <v>73</v>
      </c>
      <c r="N56">
        <v>300</v>
      </c>
    </row>
    <row r="57" spans="4:14" x14ac:dyDescent="0.35">
      <c r="D57" s="1">
        <v>44917.308055555557</v>
      </c>
      <c r="E57" t="s">
        <v>36</v>
      </c>
      <c r="F57" t="s">
        <v>10</v>
      </c>
      <c r="G57" t="s">
        <v>44</v>
      </c>
      <c r="H57" t="s">
        <v>33</v>
      </c>
      <c r="I57">
        <v>5</v>
      </c>
      <c r="J57" s="54"/>
      <c r="K57" s="1">
        <v>45179.692245370374</v>
      </c>
      <c r="L57" t="s">
        <v>28</v>
      </c>
      <c r="M57" t="s">
        <v>73</v>
      </c>
      <c r="N57">
        <v>300</v>
      </c>
    </row>
    <row r="58" spans="4:14" x14ac:dyDescent="0.35">
      <c r="D58" s="1">
        <v>44924.327291666668</v>
      </c>
      <c r="E58" t="s">
        <v>36</v>
      </c>
      <c r="F58" t="s">
        <v>10</v>
      </c>
      <c r="G58" t="s">
        <v>44</v>
      </c>
      <c r="H58" t="s">
        <v>33</v>
      </c>
      <c r="I58">
        <v>5</v>
      </c>
      <c r="J58" s="54"/>
      <c r="K58" s="1">
        <v>45193.730706018519</v>
      </c>
      <c r="L58" t="s">
        <v>28</v>
      </c>
      <c r="M58" t="s">
        <v>73</v>
      </c>
      <c r="N58">
        <v>300</v>
      </c>
    </row>
    <row r="59" spans="4:14" x14ac:dyDescent="0.35">
      <c r="D59" s="1">
        <v>44931.34652777778</v>
      </c>
      <c r="E59" t="s">
        <v>36</v>
      </c>
      <c r="F59" t="s">
        <v>10</v>
      </c>
      <c r="G59" t="s">
        <v>44</v>
      </c>
      <c r="H59" t="s">
        <v>33</v>
      </c>
      <c r="I59">
        <v>5</v>
      </c>
      <c r="J59" s="54"/>
      <c r="K59" s="1">
        <v>45207.769166666665</v>
      </c>
      <c r="L59" t="s">
        <v>28</v>
      </c>
      <c r="M59" t="s">
        <v>73</v>
      </c>
      <c r="N59">
        <v>300</v>
      </c>
    </row>
    <row r="60" spans="4:14" x14ac:dyDescent="0.35">
      <c r="D60" s="1">
        <v>44938.365763888891</v>
      </c>
      <c r="E60" t="s">
        <v>36</v>
      </c>
      <c r="F60" t="s">
        <v>10</v>
      </c>
      <c r="G60" t="s">
        <v>44</v>
      </c>
      <c r="H60" t="s">
        <v>33</v>
      </c>
      <c r="I60">
        <v>5</v>
      </c>
      <c r="J60" s="54"/>
      <c r="K60" s="1">
        <v>45221.807627314818</v>
      </c>
      <c r="L60" t="s">
        <v>28</v>
      </c>
      <c r="M60" t="s">
        <v>73</v>
      </c>
      <c r="N60">
        <v>300</v>
      </c>
    </row>
    <row r="61" spans="4:14" x14ac:dyDescent="0.35">
      <c r="D61" s="1">
        <v>44945.385000000002</v>
      </c>
      <c r="E61" t="s">
        <v>36</v>
      </c>
      <c r="F61" t="s">
        <v>10</v>
      </c>
      <c r="G61" t="s">
        <v>44</v>
      </c>
      <c r="H61" t="s">
        <v>33</v>
      </c>
      <c r="I61">
        <v>5</v>
      </c>
      <c r="J61" s="54"/>
      <c r="K61" s="1">
        <v>45235.846087962964</v>
      </c>
      <c r="L61" t="s">
        <v>28</v>
      </c>
      <c r="M61" t="s">
        <v>73</v>
      </c>
      <c r="N61">
        <v>300</v>
      </c>
    </row>
    <row r="62" spans="4:14" x14ac:dyDescent="0.35">
      <c r="D62" s="1">
        <v>44952.404236111113</v>
      </c>
      <c r="E62" t="s">
        <v>36</v>
      </c>
      <c r="F62" t="s">
        <v>10</v>
      </c>
      <c r="G62" t="s">
        <v>44</v>
      </c>
      <c r="H62" t="s">
        <v>33</v>
      </c>
      <c r="I62">
        <v>5</v>
      </c>
      <c r="J62" s="54"/>
      <c r="K62" s="1">
        <v>45249.884548611109</v>
      </c>
      <c r="L62" t="s">
        <v>28</v>
      </c>
      <c r="M62" t="s">
        <v>73</v>
      </c>
      <c r="N62">
        <v>300</v>
      </c>
    </row>
    <row r="63" spans="4:14" x14ac:dyDescent="0.35">
      <c r="D63" s="1">
        <v>44959.423472222225</v>
      </c>
      <c r="E63" t="s">
        <v>36</v>
      </c>
      <c r="F63" t="s">
        <v>10</v>
      </c>
      <c r="G63" t="s">
        <v>44</v>
      </c>
      <c r="H63" t="s">
        <v>33</v>
      </c>
      <c r="I63">
        <v>5</v>
      </c>
      <c r="J63" s="54"/>
      <c r="K63" s="1">
        <v>45263.923009259262</v>
      </c>
      <c r="L63" t="s">
        <v>28</v>
      </c>
      <c r="M63" t="s">
        <v>73</v>
      </c>
      <c r="N63">
        <v>300</v>
      </c>
    </row>
    <row r="64" spans="4:14" x14ac:dyDescent="0.35">
      <c r="D64" s="1">
        <v>44966.442708333336</v>
      </c>
      <c r="E64" t="s">
        <v>36</v>
      </c>
      <c r="F64" t="s">
        <v>10</v>
      </c>
      <c r="G64" t="s">
        <v>44</v>
      </c>
      <c r="H64" t="s">
        <v>33</v>
      </c>
      <c r="I64">
        <v>5</v>
      </c>
      <c r="J64" s="54"/>
      <c r="K64" s="1">
        <v>45277.961469907408</v>
      </c>
      <c r="L64" t="s">
        <v>28</v>
      </c>
      <c r="M64" t="s">
        <v>73</v>
      </c>
      <c r="N64">
        <v>300</v>
      </c>
    </row>
    <row r="65" spans="4:14" x14ac:dyDescent="0.35">
      <c r="D65" s="1">
        <v>44973.461944444447</v>
      </c>
      <c r="E65" t="s">
        <v>36</v>
      </c>
      <c r="F65" t="s">
        <v>10</v>
      </c>
      <c r="G65" t="s">
        <v>44</v>
      </c>
      <c r="H65" t="s">
        <v>33</v>
      </c>
      <c r="I65">
        <v>5</v>
      </c>
      <c r="J65" s="54"/>
      <c r="K65" s="1">
        <v>45291.999930555554</v>
      </c>
      <c r="L65" t="s">
        <v>28</v>
      </c>
      <c r="M65" t="s">
        <v>73</v>
      </c>
      <c r="N65">
        <v>300</v>
      </c>
    </row>
    <row r="66" spans="4:14" x14ac:dyDescent="0.35">
      <c r="D66" s="1">
        <v>44980.481180555558</v>
      </c>
      <c r="E66" t="s">
        <v>36</v>
      </c>
      <c r="F66" t="s">
        <v>10</v>
      </c>
      <c r="G66" t="s">
        <v>44</v>
      </c>
      <c r="H66" t="s">
        <v>33</v>
      </c>
      <c r="I66">
        <v>5</v>
      </c>
      <c r="J66" s="54"/>
      <c r="K66" s="1">
        <v>45306.038391203707</v>
      </c>
      <c r="L66" t="s">
        <v>28</v>
      </c>
      <c r="M66" t="s">
        <v>73</v>
      </c>
      <c r="N66">
        <v>300</v>
      </c>
    </row>
    <row r="67" spans="4:14" x14ac:dyDescent="0.35">
      <c r="D67" s="1">
        <v>44987.500416666669</v>
      </c>
      <c r="E67" t="s">
        <v>36</v>
      </c>
      <c r="F67" t="s">
        <v>10</v>
      </c>
      <c r="G67" t="s">
        <v>44</v>
      </c>
      <c r="H67" t="s">
        <v>33</v>
      </c>
      <c r="I67">
        <v>5</v>
      </c>
      <c r="J67" s="54"/>
      <c r="K67" s="1">
        <v>45320.076851851853</v>
      </c>
      <c r="L67" t="s">
        <v>28</v>
      </c>
      <c r="M67" t="s">
        <v>73</v>
      </c>
      <c r="N67">
        <v>300</v>
      </c>
    </row>
    <row r="68" spans="4:14" x14ac:dyDescent="0.35">
      <c r="D68" s="1">
        <v>44994.519652777781</v>
      </c>
      <c r="E68" t="s">
        <v>36</v>
      </c>
      <c r="F68" t="s">
        <v>10</v>
      </c>
      <c r="G68" t="s">
        <v>44</v>
      </c>
      <c r="H68" t="s">
        <v>33</v>
      </c>
      <c r="I68">
        <v>5</v>
      </c>
      <c r="J68" s="54"/>
      <c r="K68" s="1">
        <v>45334.115312499998</v>
      </c>
      <c r="L68" t="s">
        <v>28</v>
      </c>
      <c r="M68" t="s">
        <v>73</v>
      </c>
      <c r="N68">
        <v>300</v>
      </c>
    </row>
    <row r="69" spans="4:14" x14ac:dyDescent="0.35">
      <c r="D69" s="1">
        <v>45001.538888888892</v>
      </c>
      <c r="E69" t="s">
        <v>36</v>
      </c>
      <c r="F69" t="s">
        <v>10</v>
      </c>
      <c r="G69" t="s">
        <v>44</v>
      </c>
      <c r="H69" t="s">
        <v>33</v>
      </c>
      <c r="I69">
        <v>5</v>
      </c>
      <c r="J69" s="54"/>
      <c r="K69" s="1">
        <v>45348.153773148151</v>
      </c>
      <c r="L69" t="s">
        <v>28</v>
      </c>
      <c r="M69" t="s">
        <v>73</v>
      </c>
      <c r="N69">
        <v>300</v>
      </c>
    </row>
    <row r="70" spans="4:14" x14ac:dyDescent="0.35">
      <c r="D70" s="1">
        <v>45008.558125000003</v>
      </c>
      <c r="E70" t="s">
        <v>36</v>
      </c>
      <c r="F70" t="s">
        <v>10</v>
      </c>
      <c r="G70" t="s">
        <v>44</v>
      </c>
      <c r="H70" t="s">
        <v>33</v>
      </c>
      <c r="I70">
        <v>5</v>
      </c>
      <c r="J70" s="54"/>
      <c r="K70" s="1">
        <v>45362.192233796297</v>
      </c>
      <c r="L70" t="s">
        <v>28</v>
      </c>
      <c r="M70" t="s">
        <v>73</v>
      </c>
      <c r="N70">
        <v>300</v>
      </c>
    </row>
    <row r="71" spans="4:14" x14ac:dyDescent="0.35">
      <c r="D71" s="1">
        <v>45015.577361111114</v>
      </c>
      <c r="E71" t="s">
        <v>36</v>
      </c>
      <c r="F71" t="s">
        <v>10</v>
      </c>
      <c r="G71" t="s">
        <v>44</v>
      </c>
      <c r="H71" t="s">
        <v>33</v>
      </c>
      <c r="I71">
        <v>5</v>
      </c>
      <c r="J71" s="54"/>
      <c r="K71" s="1">
        <v>45376.230694444443</v>
      </c>
      <c r="L71" t="s">
        <v>28</v>
      </c>
      <c r="M71" t="s">
        <v>73</v>
      </c>
      <c r="N71">
        <v>300</v>
      </c>
    </row>
    <row r="72" spans="4:14" x14ac:dyDescent="0.35">
      <c r="D72" s="1">
        <v>45022.596597222226</v>
      </c>
      <c r="E72" t="s">
        <v>36</v>
      </c>
      <c r="F72" t="s">
        <v>10</v>
      </c>
      <c r="G72" t="s">
        <v>44</v>
      </c>
      <c r="H72" t="s">
        <v>33</v>
      </c>
      <c r="I72">
        <v>5</v>
      </c>
      <c r="J72" s="54"/>
      <c r="K72" s="1">
        <v>45390.269155092596</v>
      </c>
      <c r="L72" t="s">
        <v>28</v>
      </c>
      <c r="M72" t="s">
        <v>73</v>
      </c>
      <c r="N72">
        <v>300</v>
      </c>
    </row>
    <row r="73" spans="4:14" x14ac:dyDescent="0.35">
      <c r="D73" s="1">
        <v>45029.615833333337</v>
      </c>
      <c r="E73" t="s">
        <v>36</v>
      </c>
      <c r="F73" t="s">
        <v>10</v>
      </c>
      <c r="G73" t="s">
        <v>44</v>
      </c>
      <c r="H73" t="s">
        <v>33</v>
      </c>
      <c r="I73">
        <v>5</v>
      </c>
      <c r="J73" s="54"/>
      <c r="K73" s="1">
        <v>45404.307615740741</v>
      </c>
      <c r="L73" t="s">
        <v>28</v>
      </c>
      <c r="M73" t="s">
        <v>73</v>
      </c>
      <c r="N73">
        <v>300</v>
      </c>
    </row>
    <row r="74" spans="4:14" x14ac:dyDescent="0.35">
      <c r="D74" s="1">
        <v>45036.635069444441</v>
      </c>
      <c r="E74" t="s">
        <v>36</v>
      </c>
      <c r="F74" t="s">
        <v>10</v>
      </c>
      <c r="G74" t="s">
        <v>44</v>
      </c>
      <c r="H74" t="s">
        <v>33</v>
      </c>
      <c r="I74">
        <v>5</v>
      </c>
      <c r="J74" s="54"/>
      <c r="K74" s="1">
        <v>45418.346076388887</v>
      </c>
      <c r="L74" t="s">
        <v>28</v>
      </c>
      <c r="M74" t="s">
        <v>73</v>
      </c>
      <c r="N74">
        <v>300</v>
      </c>
    </row>
    <row r="75" spans="4:14" x14ac:dyDescent="0.35">
      <c r="D75" s="1">
        <v>45043.654305555552</v>
      </c>
      <c r="E75" t="s">
        <v>36</v>
      </c>
      <c r="F75" t="s">
        <v>10</v>
      </c>
      <c r="G75" t="s">
        <v>44</v>
      </c>
      <c r="H75" t="s">
        <v>33</v>
      </c>
      <c r="I75">
        <v>5</v>
      </c>
      <c r="J75" s="54"/>
      <c r="K75" s="1">
        <v>45432.38453703704</v>
      </c>
      <c r="L75" t="s">
        <v>28</v>
      </c>
      <c r="M75" t="s">
        <v>73</v>
      </c>
      <c r="N75">
        <v>300</v>
      </c>
    </row>
    <row r="76" spans="4:14" x14ac:dyDescent="0.35">
      <c r="D76" s="1">
        <v>45050.673541666663</v>
      </c>
      <c r="E76" t="s">
        <v>36</v>
      </c>
      <c r="F76" t="s">
        <v>10</v>
      </c>
      <c r="G76" t="s">
        <v>44</v>
      </c>
      <c r="H76" t="s">
        <v>33</v>
      </c>
      <c r="I76">
        <v>5</v>
      </c>
      <c r="J76" s="54"/>
      <c r="K76" s="1">
        <v>45446.422997685186</v>
      </c>
      <c r="L76" t="s">
        <v>28</v>
      </c>
      <c r="M76" t="s">
        <v>73</v>
      </c>
      <c r="N76">
        <v>300</v>
      </c>
    </row>
    <row r="77" spans="4:14" x14ac:dyDescent="0.35">
      <c r="D77" s="1">
        <v>45057.692777777775</v>
      </c>
      <c r="E77" t="s">
        <v>36</v>
      </c>
      <c r="F77" t="s">
        <v>10</v>
      </c>
      <c r="G77" t="s">
        <v>44</v>
      </c>
      <c r="H77" t="s">
        <v>33</v>
      </c>
      <c r="I77">
        <v>5</v>
      </c>
      <c r="J77" s="54"/>
      <c r="K77" s="1">
        <v>45460.461458333331</v>
      </c>
      <c r="L77" t="s">
        <v>28</v>
      </c>
      <c r="M77" t="s">
        <v>73</v>
      </c>
      <c r="N77">
        <v>300</v>
      </c>
    </row>
    <row r="78" spans="4:14" x14ac:dyDescent="0.35">
      <c r="D78" s="1">
        <v>45064.712013888886</v>
      </c>
      <c r="E78" t="s">
        <v>36</v>
      </c>
      <c r="F78" t="s">
        <v>10</v>
      </c>
      <c r="G78" t="s">
        <v>44</v>
      </c>
      <c r="H78" t="s">
        <v>33</v>
      </c>
      <c r="I78">
        <v>5</v>
      </c>
      <c r="J78" s="54"/>
      <c r="K78" s="1">
        <v>45474.499918981484</v>
      </c>
      <c r="L78" t="s">
        <v>28</v>
      </c>
      <c r="M78" t="s">
        <v>73</v>
      </c>
      <c r="N78">
        <v>300</v>
      </c>
    </row>
    <row r="79" spans="4:14" x14ac:dyDescent="0.35">
      <c r="D79" s="1">
        <v>45071.731249999997</v>
      </c>
      <c r="E79" t="s">
        <v>36</v>
      </c>
      <c r="F79" t="s">
        <v>10</v>
      </c>
      <c r="G79" t="s">
        <v>44</v>
      </c>
      <c r="H79" t="s">
        <v>33</v>
      </c>
      <c r="I79">
        <v>5</v>
      </c>
      <c r="J79" s="54"/>
      <c r="K79" s="1">
        <v>45488.53837962963</v>
      </c>
      <c r="L79" t="s">
        <v>28</v>
      </c>
      <c r="M79" t="s">
        <v>73</v>
      </c>
      <c r="N79">
        <v>300</v>
      </c>
    </row>
    <row r="80" spans="4:14" x14ac:dyDescent="0.35">
      <c r="D80" s="1">
        <v>45078.750486111108</v>
      </c>
      <c r="E80" t="s">
        <v>36</v>
      </c>
      <c r="F80" t="s">
        <v>10</v>
      </c>
      <c r="G80" t="s">
        <v>44</v>
      </c>
      <c r="H80" t="s">
        <v>33</v>
      </c>
      <c r="I80">
        <v>5</v>
      </c>
      <c r="J80" s="54"/>
      <c r="K80" s="1">
        <v>45502.576840277776</v>
      </c>
      <c r="L80" t="s">
        <v>28</v>
      </c>
      <c r="M80" t="s">
        <v>73</v>
      </c>
      <c r="N80">
        <v>300</v>
      </c>
    </row>
    <row r="81" spans="4:14" x14ac:dyDescent="0.35">
      <c r="D81" s="1">
        <v>45085.76972222222</v>
      </c>
      <c r="E81" t="s">
        <v>36</v>
      </c>
      <c r="F81" t="s">
        <v>10</v>
      </c>
      <c r="G81" t="s">
        <v>44</v>
      </c>
      <c r="H81" t="s">
        <v>33</v>
      </c>
      <c r="I81">
        <v>5</v>
      </c>
      <c r="J81" s="54"/>
      <c r="K81" s="1">
        <v>45516.615300925929</v>
      </c>
      <c r="L81" t="s">
        <v>28</v>
      </c>
      <c r="M81" t="s">
        <v>73</v>
      </c>
      <c r="N81">
        <v>300</v>
      </c>
    </row>
    <row r="82" spans="4:14" x14ac:dyDescent="0.35">
      <c r="D82" s="1">
        <v>45092.788958333331</v>
      </c>
      <c r="E82" t="s">
        <v>36</v>
      </c>
      <c r="F82" t="s">
        <v>10</v>
      </c>
      <c r="G82" t="s">
        <v>44</v>
      </c>
      <c r="H82" t="s">
        <v>33</v>
      </c>
      <c r="I82">
        <v>5</v>
      </c>
      <c r="J82" s="54"/>
      <c r="K82" s="1">
        <v>45530.653761574074</v>
      </c>
      <c r="L82" t="s">
        <v>28</v>
      </c>
      <c r="M82" t="s">
        <v>73</v>
      </c>
      <c r="N82">
        <v>300</v>
      </c>
    </row>
    <row r="83" spans="4:14" x14ac:dyDescent="0.35">
      <c r="D83" s="1">
        <v>45099.808194444442</v>
      </c>
      <c r="E83" t="s">
        <v>36</v>
      </c>
      <c r="F83" t="s">
        <v>10</v>
      </c>
      <c r="G83" t="s">
        <v>44</v>
      </c>
      <c r="H83" t="s">
        <v>33</v>
      </c>
      <c r="I83">
        <v>5</v>
      </c>
      <c r="J83" s="54"/>
      <c r="K83" s="1">
        <v>45544.69222222222</v>
      </c>
      <c r="L83" t="s">
        <v>28</v>
      </c>
      <c r="M83" t="s">
        <v>73</v>
      </c>
      <c r="N83">
        <v>300</v>
      </c>
    </row>
    <row r="84" spans="4:14" x14ac:dyDescent="0.35">
      <c r="D84" s="1">
        <v>45106.827430555553</v>
      </c>
      <c r="E84" t="s">
        <v>36</v>
      </c>
      <c r="F84" t="s">
        <v>10</v>
      </c>
      <c r="G84" t="s">
        <v>44</v>
      </c>
      <c r="H84" t="s">
        <v>33</v>
      </c>
      <c r="I84">
        <v>5</v>
      </c>
      <c r="J84" s="54"/>
      <c r="K84" s="1">
        <v>45558.730682870373</v>
      </c>
      <c r="L84" t="s">
        <v>28</v>
      </c>
      <c r="M84" t="s">
        <v>73</v>
      </c>
      <c r="N84">
        <v>300</v>
      </c>
    </row>
    <row r="85" spans="4:14" x14ac:dyDescent="0.35">
      <c r="D85" s="1">
        <v>45113.846666666665</v>
      </c>
      <c r="E85" t="s">
        <v>36</v>
      </c>
      <c r="F85" t="s">
        <v>10</v>
      </c>
      <c r="G85" t="s">
        <v>44</v>
      </c>
      <c r="H85" t="s">
        <v>33</v>
      </c>
      <c r="I85">
        <v>5</v>
      </c>
      <c r="J85" s="54"/>
      <c r="K85" s="1">
        <v>45572.769143518519</v>
      </c>
      <c r="L85" t="s">
        <v>28</v>
      </c>
      <c r="M85" t="s">
        <v>73</v>
      </c>
      <c r="N85">
        <v>300</v>
      </c>
    </row>
    <row r="86" spans="4:14" x14ac:dyDescent="0.35">
      <c r="D86" s="1">
        <v>45120.865902777776</v>
      </c>
      <c r="E86" t="s">
        <v>36</v>
      </c>
      <c r="F86" t="s">
        <v>10</v>
      </c>
      <c r="G86" t="s">
        <v>44</v>
      </c>
      <c r="H86" t="s">
        <v>33</v>
      </c>
      <c r="I86">
        <v>5</v>
      </c>
      <c r="J86" s="54"/>
      <c r="K86" s="1">
        <v>45586.807604166665</v>
      </c>
      <c r="L86" t="s">
        <v>28</v>
      </c>
      <c r="M86" t="s">
        <v>73</v>
      </c>
      <c r="N86">
        <v>300</v>
      </c>
    </row>
    <row r="87" spans="4:14" x14ac:dyDescent="0.35">
      <c r="D87" s="1">
        <v>45127.885138888887</v>
      </c>
      <c r="E87" t="s">
        <v>36</v>
      </c>
      <c r="F87" t="s">
        <v>10</v>
      </c>
      <c r="G87" t="s">
        <v>44</v>
      </c>
      <c r="H87" t="s">
        <v>33</v>
      </c>
      <c r="I87">
        <v>5</v>
      </c>
      <c r="J87" s="54"/>
      <c r="K87" s="1">
        <v>45600.846064814818</v>
      </c>
      <c r="L87" t="s">
        <v>28</v>
      </c>
      <c r="M87" t="s">
        <v>73</v>
      </c>
      <c r="N87">
        <v>300</v>
      </c>
    </row>
    <row r="88" spans="4:14" x14ac:dyDescent="0.35">
      <c r="D88" s="1">
        <v>45134.904374999998</v>
      </c>
      <c r="E88" t="s">
        <v>36</v>
      </c>
      <c r="F88" t="s">
        <v>10</v>
      </c>
      <c r="G88" t="s">
        <v>44</v>
      </c>
      <c r="H88" t="s">
        <v>33</v>
      </c>
      <c r="I88">
        <v>5</v>
      </c>
      <c r="J88" s="54"/>
      <c r="K88" s="1">
        <v>45614.884525462963</v>
      </c>
      <c r="L88" t="s">
        <v>28</v>
      </c>
      <c r="M88" t="s">
        <v>73</v>
      </c>
      <c r="N88">
        <v>300</v>
      </c>
    </row>
    <row r="89" spans="4:14" x14ac:dyDescent="0.35">
      <c r="D89" s="1">
        <v>45141.923611111109</v>
      </c>
      <c r="E89" t="s">
        <v>36</v>
      </c>
      <c r="F89" t="s">
        <v>10</v>
      </c>
      <c r="G89" t="s">
        <v>44</v>
      </c>
      <c r="H89" t="s">
        <v>33</v>
      </c>
      <c r="I89">
        <v>5</v>
      </c>
      <c r="J89" s="54"/>
      <c r="K89" s="1">
        <v>45628.922986111109</v>
      </c>
      <c r="L89" t="s">
        <v>28</v>
      </c>
      <c r="M89" t="s">
        <v>73</v>
      </c>
      <c r="N89">
        <v>300</v>
      </c>
    </row>
    <row r="90" spans="4:14" x14ac:dyDescent="0.35">
      <c r="D90" s="1">
        <v>45148.942847222221</v>
      </c>
      <c r="E90" t="s">
        <v>36</v>
      </c>
      <c r="F90" t="s">
        <v>10</v>
      </c>
      <c r="G90" t="s">
        <v>44</v>
      </c>
      <c r="H90" t="s">
        <v>33</v>
      </c>
      <c r="I90">
        <v>5</v>
      </c>
      <c r="J90" s="54"/>
      <c r="K90" s="1">
        <v>45642.961446759262</v>
      </c>
      <c r="L90" t="s">
        <v>28</v>
      </c>
      <c r="M90" t="s">
        <v>73</v>
      </c>
      <c r="N90">
        <v>300</v>
      </c>
    </row>
    <row r="91" spans="4:14" x14ac:dyDescent="0.35">
      <c r="D91" s="1">
        <v>45155.962083333332</v>
      </c>
      <c r="E91" t="s">
        <v>36</v>
      </c>
      <c r="F91" t="s">
        <v>10</v>
      </c>
      <c r="G91" t="s">
        <v>44</v>
      </c>
      <c r="H91" t="s">
        <v>33</v>
      </c>
      <c r="I91">
        <v>5</v>
      </c>
      <c r="J91" s="54"/>
      <c r="K91" s="1">
        <v>45656.999907407408</v>
      </c>
      <c r="L91" t="s">
        <v>28</v>
      </c>
      <c r="M91" t="s">
        <v>73</v>
      </c>
      <c r="N91">
        <v>300</v>
      </c>
    </row>
    <row r="92" spans="4:14" x14ac:dyDescent="0.35">
      <c r="D92" s="1">
        <v>45162.981319444443</v>
      </c>
      <c r="E92" t="s">
        <v>36</v>
      </c>
      <c r="F92" t="s">
        <v>10</v>
      </c>
      <c r="G92" t="s">
        <v>44</v>
      </c>
      <c r="H92" t="s">
        <v>33</v>
      </c>
      <c r="I92">
        <v>5</v>
      </c>
      <c r="J92" s="54"/>
      <c r="K92" s="1"/>
    </row>
    <row r="93" spans="4:14" x14ac:dyDescent="0.35">
      <c r="D93" s="1">
        <v>45170.000555555554</v>
      </c>
      <c r="E93" t="s">
        <v>36</v>
      </c>
      <c r="F93" t="s">
        <v>10</v>
      </c>
      <c r="G93" t="s">
        <v>44</v>
      </c>
      <c r="H93" t="s">
        <v>33</v>
      </c>
      <c r="I93">
        <v>5</v>
      </c>
      <c r="J93" s="54"/>
      <c r="K93" s="1"/>
    </row>
    <row r="94" spans="4:14" x14ac:dyDescent="0.35">
      <c r="D94" s="1">
        <v>45177.019791666666</v>
      </c>
      <c r="E94" t="s">
        <v>36</v>
      </c>
      <c r="F94" t="s">
        <v>10</v>
      </c>
      <c r="G94" t="s">
        <v>44</v>
      </c>
      <c r="H94" t="s">
        <v>33</v>
      </c>
      <c r="I94">
        <v>5</v>
      </c>
      <c r="J94" s="54"/>
      <c r="K94" s="1"/>
    </row>
    <row r="95" spans="4:14" x14ac:dyDescent="0.35">
      <c r="D95" s="1">
        <v>45184.039027777777</v>
      </c>
      <c r="E95" t="s">
        <v>36</v>
      </c>
      <c r="F95" t="s">
        <v>10</v>
      </c>
      <c r="G95" t="s">
        <v>44</v>
      </c>
      <c r="H95" t="s">
        <v>33</v>
      </c>
      <c r="I95">
        <v>5</v>
      </c>
      <c r="J95" s="54"/>
      <c r="K95" s="1"/>
    </row>
    <row r="96" spans="4:14" x14ac:dyDescent="0.35">
      <c r="D96" s="1">
        <v>45191.058263888888</v>
      </c>
      <c r="E96" t="s">
        <v>36</v>
      </c>
      <c r="F96" t="s">
        <v>10</v>
      </c>
      <c r="G96" t="s">
        <v>44</v>
      </c>
      <c r="H96" t="s">
        <v>33</v>
      </c>
      <c r="I96">
        <v>5</v>
      </c>
      <c r="J96" s="54"/>
      <c r="K96" s="1"/>
    </row>
    <row r="97" spans="4:11" x14ac:dyDescent="0.35">
      <c r="D97" s="1">
        <v>45198.077499999999</v>
      </c>
      <c r="E97" t="s">
        <v>36</v>
      </c>
      <c r="F97" t="s">
        <v>10</v>
      </c>
      <c r="G97" t="s">
        <v>44</v>
      </c>
      <c r="H97" t="s">
        <v>33</v>
      </c>
      <c r="I97">
        <v>5</v>
      </c>
      <c r="J97" s="54"/>
      <c r="K97" s="1"/>
    </row>
    <row r="98" spans="4:11" x14ac:dyDescent="0.35">
      <c r="D98" s="1">
        <v>45205.096736111111</v>
      </c>
      <c r="E98" t="s">
        <v>36</v>
      </c>
      <c r="F98" t="s">
        <v>10</v>
      </c>
      <c r="G98" t="s">
        <v>44</v>
      </c>
      <c r="H98" t="s">
        <v>33</v>
      </c>
      <c r="I98">
        <v>5</v>
      </c>
      <c r="J98" s="54"/>
      <c r="K98" s="1"/>
    </row>
    <row r="99" spans="4:11" x14ac:dyDescent="0.35">
      <c r="D99" s="1">
        <v>45212.115972222222</v>
      </c>
      <c r="E99" t="s">
        <v>36</v>
      </c>
      <c r="F99" t="s">
        <v>10</v>
      </c>
      <c r="G99" t="s">
        <v>44</v>
      </c>
      <c r="H99" t="s">
        <v>33</v>
      </c>
      <c r="I99">
        <v>5</v>
      </c>
      <c r="J99" s="54"/>
      <c r="K99" s="1"/>
    </row>
    <row r="100" spans="4:11" x14ac:dyDescent="0.35">
      <c r="D100" s="1">
        <v>45219.135208333333</v>
      </c>
      <c r="E100" t="s">
        <v>36</v>
      </c>
      <c r="F100" t="s">
        <v>10</v>
      </c>
      <c r="G100" t="s">
        <v>44</v>
      </c>
      <c r="H100" t="s">
        <v>33</v>
      </c>
      <c r="I100">
        <v>5</v>
      </c>
      <c r="J100" s="54"/>
      <c r="K100" s="1"/>
    </row>
    <row r="101" spans="4:11" x14ac:dyDescent="0.35">
      <c r="D101" s="1">
        <v>45226.154444444444</v>
      </c>
      <c r="E101" t="s">
        <v>36</v>
      </c>
      <c r="F101" t="s">
        <v>10</v>
      </c>
      <c r="G101" t="s">
        <v>44</v>
      </c>
      <c r="H101" t="s">
        <v>33</v>
      </c>
      <c r="I101">
        <v>5</v>
      </c>
      <c r="J101" s="54"/>
      <c r="K101" s="1"/>
    </row>
    <row r="102" spans="4:11" x14ac:dyDescent="0.35">
      <c r="D102" s="1">
        <v>45233.173680555556</v>
      </c>
      <c r="E102" t="s">
        <v>36</v>
      </c>
      <c r="F102" t="s">
        <v>10</v>
      </c>
      <c r="G102" t="s">
        <v>44</v>
      </c>
      <c r="H102" t="s">
        <v>33</v>
      </c>
      <c r="I102">
        <v>5</v>
      </c>
      <c r="J102" s="54"/>
      <c r="K102" s="1"/>
    </row>
    <row r="103" spans="4:11" x14ac:dyDescent="0.35">
      <c r="D103" s="1">
        <v>45240.192916666667</v>
      </c>
      <c r="E103" t="s">
        <v>36</v>
      </c>
      <c r="F103" t="s">
        <v>10</v>
      </c>
      <c r="G103" t="s">
        <v>44</v>
      </c>
      <c r="H103" t="s">
        <v>33</v>
      </c>
      <c r="I103">
        <v>5</v>
      </c>
      <c r="J103" s="54"/>
      <c r="K103" s="1"/>
    </row>
    <row r="104" spans="4:11" x14ac:dyDescent="0.35">
      <c r="D104" s="1">
        <v>45247.212152777778</v>
      </c>
      <c r="E104" t="s">
        <v>36</v>
      </c>
      <c r="F104" t="s">
        <v>10</v>
      </c>
      <c r="G104" t="s">
        <v>44</v>
      </c>
      <c r="H104" t="s">
        <v>33</v>
      </c>
      <c r="I104">
        <v>5</v>
      </c>
      <c r="J104" s="54"/>
      <c r="K104" s="1"/>
    </row>
    <row r="105" spans="4:11" x14ac:dyDescent="0.35">
      <c r="D105" s="1">
        <v>45254.231388888889</v>
      </c>
      <c r="E105" t="s">
        <v>36</v>
      </c>
      <c r="F105" t="s">
        <v>10</v>
      </c>
      <c r="G105" t="s">
        <v>44</v>
      </c>
      <c r="H105" t="s">
        <v>33</v>
      </c>
      <c r="I105">
        <v>5</v>
      </c>
      <c r="J105" s="54"/>
      <c r="K105" s="1"/>
    </row>
    <row r="106" spans="4:11" x14ac:dyDescent="0.35">
      <c r="D106" s="1">
        <v>45261.250625000001</v>
      </c>
      <c r="E106" t="s">
        <v>36</v>
      </c>
      <c r="F106" t="s">
        <v>10</v>
      </c>
      <c r="G106" t="s">
        <v>44</v>
      </c>
      <c r="H106" t="s">
        <v>33</v>
      </c>
      <c r="I106">
        <v>5</v>
      </c>
      <c r="J106" s="54"/>
      <c r="K106" s="1"/>
    </row>
    <row r="107" spans="4:11" x14ac:dyDescent="0.35">
      <c r="D107" s="1">
        <v>45268.269861111112</v>
      </c>
      <c r="E107" t="s">
        <v>36</v>
      </c>
      <c r="F107" t="s">
        <v>10</v>
      </c>
      <c r="G107" t="s">
        <v>44</v>
      </c>
      <c r="H107" t="s">
        <v>33</v>
      </c>
      <c r="I107">
        <v>5</v>
      </c>
      <c r="J107" s="54"/>
      <c r="K107" s="1"/>
    </row>
    <row r="108" spans="4:11" x14ac:dyDescent="0.35">
      <c r="D108" s="1">
        <v>45275.289097222223</v>
      </c>
      <c r="E108" t="s">
        <v>36</v>
      </c>
      <c r="F108" t="s">
        <v>10</v>
      </c>
      <c r="G108" t="s">
        <v>44</v>
      </c>
      <c r="H108" t="s">
        <v>33</v>
      </c>
      <c r="I108">
        <v>5</v>
      </c>
      <c r="J108" s="54"/>
      <c r="K108" s="1"/>
    </row>
    <row r="109" spans="4:11" x14ac:dyDescent="0.35">
      <c r="D109" s="1">
        <v>45282.308333333334</v>
      </c>
      <c r="E109" t="s">
        <v>36</v>
      </c>
      <c r="F109" t="s">
        <v>10</v>
      </c>
      <c r="G109" t="s">
        <v>44</v>
      </c>
      <c r="H109" t="s">
        <v>33</v>
      </c>
      <c r="I109">
        <v>5</v>
      </c>
      <c r="J109" s="54"/>
      <c r="K109" s="1"/>
    </row>
    <row r="110" spans="4:11" x14ac:dyDescent="0.35">
      <c r="D110" s="1">
        <v>45289.327569444446</v>
      </c>
      <c r="E110" t="s">
        <v>36</v>
      </c>
      <c r="F110" t="s">
        <v>10</v>
      </c>
      <c r="G110" t="s">
        <v>44</v>
      </c>
      <c r="H110" t="s">
        <v>33</v>
      </c>
      <c r="I110">
        <v>5</v>
      </c>
      <c r="J110" s="54"/>
      <c r="K110" s="1"/>
    </row>
    <row r="111" spans="4:11" x14ac:dyDescent="0.35">
      <c r="D111" s="1">
        <v>45296.346805555557</v>
      </c>
      <c r="E111" t="s">
        <v>36</v>
      </c>
      <c r="F111" t="s">
        <v>10</v>
      </c>
      <c r="G111" t="s">
        <v>44</v>
      </c>
      <c r="H111" t="s">
        <v>33</v>
      </c>
      <c r="I111">
        <v>5</v>
      </c>
      <c r="J111" s="54"/>
      <c r="K111" s="1"/>
    </row>
    <row r="112" spans="4:11" x14ac:dyDescent="0.35">
      <c r="D112" s="1">
        <v>45303.366041666668</v>
      </c>
      <c r="E112" t="s">
        <v>36</v>
      </c>
      <c r="F112" t="s">
        <v>10</v>
      </c>
      <c r="G112" t="s">
        <v>44</v>
      </c>
      <c r="H112" t="s">
        <v>33</v>
      </c>
      <c r="I112">
        <v>5</v>
      </c>
      <c r="J112" s="54"/>
      <c r="K112" s="1"/>
    </row>
    <row r="113" spans="4:11" x14ac:dyDescent="0.35">
      <c r="D113" s="1">
        <v>45310.385277777779</v>
      </c>
      <c r="E113" t="s">
        <v>36</v>
      </c>
      <c r="F113" t="s">
        <v>10</v>
      </c>
      <c r="G113" t="s">
        <v>44</v>
      </c>
      <c r="H113" t="s">
        <v>33</v>
      </c>
      <c r="I113">
        <v>5</v>
      </c>
      <c r="J113" s="54"/>
      <c r="K113" s="1"/>
    </row>
    <row r="114" spans="4:11" x14ac:dyDescent="0.35">
      <c r="D114" s="1">
        <v>45317.404513888891</v>
      </c>
      <c r="E114" t="s">
        <v>36</v>
      </c>
      <c r="F114" t="s">
        <v>10</v>
      </c>
      <c r="G114" t="s">
        <v>44</v>
      </c>
      <c r="H114" t="s">
        <v>33</v>
      </c>
      <c r="I114">
        <v>5</v>
      </c>
      <c r="J114" s="54"/>
      <c r="K114" s="1"/>
    </row>
    <row r="115" spans="4:11" x14ac:dyDescent="0.35">
      <c r="D115" s="1">
        <v>45324.423750000002</v>
      </c>
      <c r="E115" t="s">
        <v>36</v>
      </c>
      <c r="F115" t="s">
        <v>10</v>
      </c>
      <c r="G115" t="s">
        <v>44</v>
      </c>
      <c r="H115" t="s">
        <v>33</v>
      </c>
      <c r="I115">
        <v>5</v>
      </c>
      <c r="J115" s="54"/>
      <c r="K115" s="1"/>
    </row>
    <row r="116" spans="4:11" x14ac:dyDescent="0.35">
      <c r="D116" s="1">
        <v>45331.442986111113</v>
      </c>
      <c r="E116" t="s">
        <v>36</v>
      </c>
      <c r="F116" t="s">
        <v>10</v>
      </c>
      <c r="G116" t="s">
        <v>44</v>
      </c>
      <c r="H116" t="s">
        <v>33</v>
      </c>
      <c r="I116">
        <v>5</v>
      </c>
      <c r="J116" s="54"/>
      <c r="K116" s="1"/>
    </row>
    <row r="117" spans="4:11" x14ac:dyDescent="0.35">
      <c r="D117" s="1">
        <v>45338.462222222224</v>
      </c>
      <c r="E117" t="s">
        <v>36</v>
      </c>
      <c r="F117" t="s">
        <v>10</v>
      </c>
      <c r="G117" t="s">
        <v>44</v>
      </c>
      <c r="H117" t="s">
        <v>33</v>
      </c>
      <c r="I117">
        <v>5</v>
      </c>
      <c r="J117" s="54"/>
      <c r="K117" s="1"/>
    </row>
    <row r="118" spans="4:11" x14ac:dyDescent="0.35">
      <c r="D118" s="1">
        <v>45345.481458333335</v>
      </c>
      <c r="E118" t="s">
        <v>36</v>
      </c>
      <c r="F118" t="s">
        <v>10</v>
      </c>
      <c r="G118" t="s">
        <v>44</v>
      </c>
      <c r="H118" t="s">
        <v>33</v>
      </c>
      <c r="I118">
        <v>5</v>
      </c>
      <c r="J118" s="54"/>
      <c r="K118" s="1"/>
    </row>
    <row r="119" spans="4:11" x14ac:dyDescent="0.35">
      <c r="D119" s="1">
        <v>45352.500694444447</v>
      </c>
      <c r="E119" t="s">
        <v>36</v>
      </c>
      <c r="F119" t="s">
        <v>10</v>
      </c>
      <c r="G119" t="s">
        <v>44</v>
      </c>
      <c r="H119" t="s">
        <v>33</v>
      </c>
      <c r="I119">
        <v>5</v>
      </c>
      <c r="J119" s="54"/>
      <c r="K119" s="1"/>
    </row>
    <row r="120" spans="4:11" x14ac:dyDescent="0.35">
      <c r="D120" s="1">
        <v>45359.519930555558</v>
      </c>
      <c r="E120" t="s">
        <v>36</v>
      </c>
      <c r="F120" t="s">
        <v>10</v>
      </c>
      <c r="G120" t="s">
        <v>44</v>
      </c>
      <c r="H120" t="s">
        <v>33</v>
      </c>
      <c r="I120">
        <v>5</v>
      </c>
      <c r="J120" s="54"/>
      <c r="K120" s="1"/>
    </row>
    <row r="121" spans="4:11" x14ac:dyDescent="0.35">
      <c r="D121" s="1">
        <v>45366.539166666669</v>
      </c>
      <c r="E121" t="s">
        <v>36</v>
      </c>
      <c r="F121" t="s">
        <v>10</v>
      </c>
      <c r="G121" t="s">
        <v>44</v>
      </c>
      <c r="H121" t="s">
        <v>33</v>
      </c>
      <c r="I121">
        <v>5</v>
      </c>
      <c r="J121" s="54"/>
      <c r="K121" s="1"/>
    </row>
    <row r="122" spans="4:11" x14ac:dyDescent="0.35">
      <c r="D122" s="1">
        <v>45373.55840277778</v>
      </c>
      <c r="E122" t="s">
        <v>36</v>
      </c>
      <c r="F122" t="s">
        <v>10</v>
      </c>
      <c r="G122" t="s">
        <v>44</v>
      </c>
      <c r="H122" t="s">
        <v>33</v>
      </c>
      <c r="I122">
        <v>5</v>
      </c>
      <c r="J122" s="54"/>
      <c r="K122" s="1"/>
    </row>
    <row r="123" spans="4:11" x14ac:dyDescent="0.35">
      <c r="D123" s="1">
        <v>45380.577638888892</v>
      </c>
      <c r="E123" t="s">
        <v>36</v>
      </c>
      <c r="F123" t="s">
        <v>10</v>
      </c>
      <c r="G123" t="s">
        <v>44</v>
      </c>
      <c r="H123" t="s">
        <v>33</v>
      </c>
      <c r="I123">
        <v>5</v>
      </c>
      <c r="K123" s="1"/>
    </row>
    <row r="124" spans="4:11" x14ac:dyDescent="0.35">
      <c r="D124" s="1">
        <v>45387.596875000003</v>
      </c>
      <c r="E124" t="s">
        <v>36</v>
      </c>
      <c r="F124" t="s">
        <v>10</v>
      </c>
      <c r="G124" t="s">
        <v>44</v>
      </c>
      <c r="H124" t="s">
        <v>33</v>
      </c>
      <c r="I124">
        <v>5</v>
      </c>
      <c r="K124" s="1"/>
    </row>
    <row r="125" spans="4:11" x14ac:dyDescent="0.35">
      <c r="D125" s="1">
        <v>45394.616111111114</v>
      </c>
      <c r="E125" t="s">
        <v>36</v>
      </c>
      <c r="F125" t="s">
        <v>10</v>
      </c>
      <c r="G125" t="s">
        <v>44</v>
      </c>
      <c r="H125" t="s">
        <v>33</v>
      </c>
      <c r="I125">
        <v>5</v>
      </c>
      <c r="K125" s="1"/>
    </row>
    <row r="126" spans="4:11" x14ac:dyDescent="0.35">
      <c r="D126" s="1">
        <v>45401.635347222225</v>
      </c>
      <c r="E126" t="s">
        <v>36</v>
      </c>
      <c r="F126" t="s">
        <v>10</v>
      </c>
      <c r="G126" t="s">
        <v>44</v>
      </c>
      <c r="H126" t="s">
        <v>33</v>
      </c>
      <c r="I126">
        <v>5</v>
      </c>
      <c r="K126" s="1"/>
    </row>
    <row r="127" spans="4:11" x14ac:dyDescent="0.35">
      <c r="D127" s="1">
        <v>45408.654583333337</v>
      </c>
      <c r="E127" t="s">
        <v>36</v>
      </c>
      <c r="F127" t="s">
        <v>10</v>
      </c>
      <c r="G127" t="s">
        <v>44</v>
      </c>
      <c r="H127" t="s">
        <v>33</v>
      </c>
      <c r="I127">
        <v>5</v>
      </c>
      <c r="K127" s="1"/>
    </row>
    <row r="128" spans="4:11" x14ac:dyDescent="0.35">
      <c r="D128" s="1">
        <v>45415.673819444448</v>
      </c>
      <c r="E128" t="s">
        <v>36</v>
      </c>
      <c r="F128" t="s">
        <v>10</v>
      </c>
      <c r="G128" t="s">
        <v>44</v>
      </c>
      <c r="H128" t="s">
        <v>33</v>
      </c>
      <c r="I128">
        <v>5</v>
      </c>
      <c r="K128" s="1"/>
    </row>
    <row r="129" spans="4:11" x14ac:dyDescent="0.35">
      <c r="D129" s="1">
        <v>45422.693055555559</v>
      </c>
      <c r="E129" t="s">
        <v>36</v>
      </c>
      <c r="F129" t="s">
        <v>10</v>
      </c>
      <c r="G129" t="s">
        <v>44</v>
      </c>
      <c r="H129" t="s">
        <v>33</v>
      </c>
      <c r="I129">
        <v>5</v>
      </c>
      <c r="K129" s="1"/>
    </row>
    <row r="130" spans="4:11" x14ac:dyDescent="0.35">
      <c r="D130" s="1">
        <v>45429.712291666663</v>
      </c>
      <c r="E130" t="s">
        <v>36</v>
      </c>
      <c r="F130" t="s">
        <v>10</v>
      </c>
      <c r="G130" t="s">
        <v>44</v>
      </c>
      <c r="H130" t="s">
        <v>33</v>
      </c>
      <c r="I130">
        <v>5</v>
      </c>
      <c r="K130" s="1"/>
    </row>
    <row r="131" spans="4:11" x14ac:dyDescent="0.35">
      <c r="D131" s="1">
        <v>45436.731527777774</v>
      </c>
      <c r="E131" t="s">
        <v>36</v>
      </c>
      <c r="F131" t="s">
        <v>10</v>
      </c>
      <c r="G131" t="s">
        <v>44</v>
      </c>
      <c r="H131" t="s">
        <v>33</v>
      </c>
      <c r="I131">
        <v>5</v>
      </c>
      <c r="K131" s="1"/>
    </row>
    <row r="132" spans="4:11" x14ac:dyDescent="0.35">
      <c r="D132" s="1">
        <v>45443.750763888886</v>
      </c>
      <c r="E132" t="s">
        <v>36</v>
      </c>
      <c r="F132" t="s">
        <v>10</v>
      </c>
      <c r="G132" t="s">
        <v>44</v>
      </c>
      <c r="H132" t="s">
        <v>33</v>
      </c>
      <c r="I132">
        <v>5</v>
      </c>
      <c r="K132" s="1"/>
    </row>
    <row r="133" spans="4:11" x14ac:dyDescent="0.35">
      <c r="D133" s="1">
        <v>45450.77</v>
      </c>
      <c r="E133" t="s">
        <v>36</v>
      </c>
      <c r="F133" t="s">
        <v>10</v>
      </c>
      <c r="G133" t="s">
        <v>44</v>
      </c>
      <c r="H133" t="s">
        <v>33</v>
      </c>
      <c r="I133">
        <v>5</v>
      </c>
      <c r="K133" s="1"/>
    </row>
    <row r="134" spans="4:11" x14ac:dyDescent="0.35">
      <c r="D134" s="1">
        <v>45457.789236111108</v>
      </c>
      <c r="E134" t="s">
        <v>36</v>
      </c>
      <c r="F134" t="s">
        <v>10</v>
      </c>
      <c r="G134" t="s">
        <v>44</v>
      </c>
      <c r="H134" t="s">
        <v>33</v>
      </c>
      <c r="I134">
        <v>5</v>
      </c>
      <c r="K134" s="1"/>
    </row>
    <row r="135" spans="4:11" x14ac:dyDescent="0.35">
      <c r="D135" s="1">
        <v>45464.808472222219</v>
      </c>
      <c r="E135" t="s">
        <v>36</v>
      </c>
      <c r="F135" t="s">
        <v>10</v>
      </c>
      <c r="G135" t="s">
        <v>44</v>
      </c>
      <c r="H135" t="s">
        <v>33</v>
      </c>
      <c r="I135">
        <v>5</v>
      </c>
      <c r="K135" s="1"/>
    </row>
    <row r="136" spans="4:11" x14ac:dyDescent="0.35">
      <c r="D136" s="1">
        <v>45471.827708333331</v>
      </c>
      <c r="E136" t="s">
        <v>36</v>
      </c>
      <c r="F136" t="s">
        <v>10</v>
      </c>
      <c r="G136" t="s">
        <v>44</v>
      </c>
      <c r="H136" t="s">
        <v>33</v>
      </c>
      <c r="I136">
        <v>5</v>
      </c>
      <c r="K136" s="1"/>
    </row>
    <row r="137" spans="4:11" x14ac:dyDescent="0.35">
      <c r="D137" s="1">
        <v>45478.846944444442</v>
      </c>
      <c r="E137" t="s">
        <v>36</v>
      </c>
      <c r="F137" t="s">
        <v>10</v>
      </c>
      <c r="G137" t="s">
        <v>44</v>
      </c>
      <c r="H137" t="s">
        <v>33</v>
      </c>
      <c r="I137">
        <v>5</v>
      </c>
      <c r="K137" s="1"/>
    </row>
    <row r="138" spans="4:11" x14ac:dyDescent="0.35">
      <c r="D138" s="1">
        <v>45485.866180555553</v>
      </c>
      <c r="E138" t="s">
        <v>36</v>
      </c>
      <c r="F138" t="s">
        <v>10</v>
      </c>
      <c r="G138" t="s">
        <v>44</v>
      </c>
      <c r="H138" t="s">
        <v>33</v>
      </c>
      <c r="I138">
        <v>5</v>
      </c>
      <c r="K138" s="1"/>
    </row>
    <row r="139" spans="4:11" x14ac:dyDescent="0.35">
      <c r="D139" s="1">
        <v>45492.885416666664</v>
      </c>
      <c r="E139" t="s">
        <v>36</v>
      </c>
      <c r="F139" t="s">
        <v>10</v>
      </c>
      <c r="G139" t="s">
        <v>44</v>
      </c>
      <c r="H139" t="s">
        <v>33</v>
      </c>
      <c r="I139">
        <v>5</v>
      </c>
      <c r="K139" s="1"/>
    </row>
    <row r="140" spans="4:11" x14ac:dyDescent="0.35">
      <c r="D140" s="1">
        <v>45499.904652777775</v>
      </c>
      <c r="E140" t="s">
        <v>36</v>
      </c>
      <c r="F140" t="s">
        <v>10</v>
      </c>
      <c r="G140" t="s">
        <v>44</v>
      </c>
      <c r="H140" t="s">
        <v>33</v>
      </c>
      <c r="I140">
        <v>5</v>
      </c>
      <c r="K140" s="1"/>
    </row>
    <row r="141" spans="4:11" x14ac:dyDescent="0.35">
      <c r="D141" s="1">
        <v>45506.923888888887</v>
      </c>
      <c r="E141" t="s">
        <v>36</v>
      </c>
      <c r="F141" t="s">
        <v>10</v>
      </c>
      <c r="G141" t="s">
        <v>44</v>
      </c>
      <c r="H141" t="s">
        <v>33</v>
      </c>
      <c r="I141">
        <v>5</v>
      </c>
      <c r="K141" s="1"/>
    </row>
    <row r="142" spans="4:11" x14ac:dyDescent="0.35">
      <c r="D142" s="1">
        <v>45513.943124999998</v>
      </c>
      <c r="E142" t="s">
        <v>36</v>
      </c>
      <c r="F142" t="s">
        <v>10</v>
      </c>
      <c r="G142" t="s">
        <v>44</v>
      </c>
      <c r="H142" t="s">
        <v>33</v>
      </c>
      <c r="I142">
        <v>5</v>
      </c>
      <c r="K142" s="1"/>
    </row>
    <row r="143" spans="4:11" x14ac:dyDescent="0.35">
      <c r="D143" s="1">
        <v>45520.962361111109</v>
      </c>
      <c r="E143" t="s">
        <v>36</v>
      </c>
      <c r="F143" t="s">
        <v>10</v>
      </c>
      <c r="G143" t="s">
        <v>44</v>
      </c>
      <c r="H143" t="s">
        <v>33</v>
      </c>
      <c r="I143">
        <v>5</v>
      </c>
      <c r="K143" s="1"/>
    </row>
    <row r="144" spans="4:11" x14ac:dyDescent="0.35">
      <c r="D144" s="1">
        <v>45527.98159722222</v>
      </c>
      <c r="E144" t="s">
        <v>36</v>
      </c>
      <c r="F144" t="s">
        <v>10</v>
      </c>
      <c r="G144" t="s">
        <v>44</v>
      </c>
      <c r="H144" t="s">
        <v>33</v>
      </c>
      <c r="I144">
        <v>5</v>
      </c>
      <c r="K144" s="1"/>
    </row>
    <row r="145" spans="4:11" x14ac:dyDescent="0.35">
      <c r="D145" s="1">
        <v>45535.000833333332</v>
      </c>
      <c r="E145" t="s">
        <v>36</v>
      </c>
      <c r="F145" t="s">
        <v>10</v>
      </c>
      <c r="G145" t="s">
        <v>44</v>
      </c>
      <c r="H145" t="s">
        <v>33</v>
      </c>
      <c r="I145">
        <v>5</v>
      </c>
      <c r="K145" s="1"/>
    </row>
    <row r="146" spans="4:11" x14ac:dyDescent="0.35">
      <c r="D146" s="1">
        <v>45542.020069444443</v>
      </c>
      <c r="E146" t="s">
        <v>36</v>
      </c>
      <c r="F146" t="s">
        <v>10</v>
      </c>
      <c r="G146" t="s">
        <v>44</v>
      </c>
      <c r="H146" t="s">
        <v>33</v>
      </c>
      <c r="I146">
        <v>5</v>
      </c>
      <c r="K146" s="1"/>
    </row>
    <row r="147" spans="4:11" x14ac:dyDescent="0.35">
      <c r="D147" s="1">
        <v>45549.039305555554</v>
      </c>
      <c r="E147" t="s">
        <v>36</v>
      </c>
      <c r="F147" t="s">
        <v>10</v>
      </c>
      <c r="G147" t="s">
        <v>44</v>
      </c>
      <c r="H147" t="s">
        <v>33</v>
      </c>
      <c r="I147">
        <v>5</v>
      </c>
      <c r="K147" s="1"/>
    </row>
    <row r="148" spans="4:11" x14ac:dyDescent="0.35">
      <c r="D148" s="1">
        <v>45556.058541666665</v>
      </c>
      <c r="E148" t="s">
        <v>36</v>
      </c>
      <c r="F148" t="s">
        <v>10</v>
      </c>
      <c r="G148" t="s">
        <v>44</v>
      </c>
      <c r="H148" t="s">
        <v>33</v>
      </c>
      <c r="I148">
        <v>5</v>
      </c>
      <c r="K148" s="1"/>
    </row>
    <row r="149" spans="4:11" x14ac:dyDescent="0.35">
      <c r="D149" s="1">
        <v>45563.077777777777</v>
      </c>
      <c r="E149" t="s">
        <v>36</v>
      </c>
      <c r="F149" t="s">
        <v>10</v>
      </c>
      <c r="G149" t="s">
        <v>44</v>
      </c>
      <c r="H149" t="s">
        <v>33</v>
      </c>
      <c r="I149">
        <v>5</v>
      </c>
      <c r="K149" s="1"/>
    </row>
    <row r="150" spans="4:11" x14ac:dyDescent="0.35">
      <c r="D150" s="1">
        <v>45570.097013888888</v>
      </c>
      <c r="E150" t="s">
        <v>36</v>
      </c>
      <c r="F150" t="s">
        <v>10</v>
      </c>
      <c r="G150" t="s">
        <v>44</v>
      </c>
      <c r="H150" t="s">
        <v>33</v>
      </c>
      <c r="I150">
        <v>5</v>
      </c>
      <c r="K150" s="1"/>
    </row>
    <row r="151" spans="4:11" x14ac:dyDescent="0.35">
      <c r="D151" s="1">
        <v>45577.116249999999</v>
      </c>
      <c r="E151" t="s">
        <v>36</v>
      </c>
      <c r="F151" t="s">
        <v>10</v>
      </c>
      <c r="G151" t="s">
        <v>44</v>
      </c>
      <c r="H151" t="s">
        <v>33</v>
      </c>
      <c r="I151">
        <v>5</v>
      </c>
      <c r="K151" s="1"/>
    </row>
    <row r="152" spans="4:11" x14ac:dyDescent="0.35">
      <c r="D152" s="1">
        <v>45584.13548611111</v>
      </c>
      <c r="E152" t="s">
        <v>36</v>
      </c>
      <c r="F152" t="s">
        <v>10</v>
      </c>
      <c r="G152" t="s">
        <v>44</v>
      </c>
      <c r="H152" t="s">
        <v>33</v>
      </c>
      <c r="I152">
        <v>5</v>
      </c>
      <c r="K152" s="1"/>
    </row>
    <row r="153" spans="4:11" x14ac:dyDescent="0.35">
      <c r="D153" s="1">
        <v>45591.154722222222</v>
      </c>
      <c r="E153" t="s">
        <v>36</v>
      </c>
      <c r="F153" t="s">
        <v>10</v>
      </c>
      <c r="G153" t="s">
        <v>44</v>
      </c>
      <c r="H153" t="s">
        <v>33</v>
      </c>
      <c r="I153">
        <v>5</v>
      </c>
      <c r="K153" s="1"/>
    </row>
    <row r="154" spans="4:11" x14ac:dyDescent="0.35">
      <c r="D154" s="1">
        <v>45598.173958333333</v>
      </c>
      <c r="E154" t="s">
        <v>36</v>
      </c>
      <c r="F154" t="s">
        <v>10</v>
      </c>
      <c r="G154" t="s">
        <v>44</v>
      </c>
      <c r="H154" t="s">
        <v>33</v>
      </c>
      <c r="I154">
        <v>5</v>
      </c>
      <c r="K154" s="1"/>
    </row>
    <row r="155" spans="4:11" x14ac:dyDescent="0.35">
      <c r="D155" s="1">
        <v>45605.193194444444</v>
      </c>
      <c r="E155" t="s">
        <v>36</v>
      </c>
      <c r="F155" t="s">
        <v>10</v>
      </c>
      <c r="G155" t="s">
        <v>44</v>
      </c>
      <c r="H155" t="s">
        <v>33</v>
      </c>
      <c r="I155">
        <v>5</v>
      </c>
      <c r="K155" s="1"/>
    </row>
    <row r="156" spans="4:11" x14ac:dyDescent="0.35">
      <c r="D156" s="1">
        <v>45612.212430555555</v>
      </c>
      <c r="E156" t="s">
        <v>36</v>
      </c>
      <c r="F156" t="s">
        <v>10</v>
      </c>
      <c r="G156" t="s">
        <v>44</v>
      </c>
      <c r="H156" t="s">
        <v>33</v>
      </c>
      <c r="I156">
        <v>5</v>
      </c>
      <c r="K156" s="1"/>
    </row>
    <row r="157" spans="4:11" x14ac:dyDescent="0.35">
      <c r="D157" s="1">
        <v>45619.231666666667</v>
      </c>
      <c r="E157" t="s">
        <v>36</v>
      </c>
      <c r="F157" t="s">
        <v>10</v>
      </c>
      <c r="G157" t="s">
        <v>44</v>
      </c>
      <c r="H157" t="s">
        <v>33</v>
      </c>
      <c r="I157">
        <v>5</v>
      </c>
      <c r="K157" s="1"/>
    </row>
    <row r="158" spans="4:11" x14ac:dyDescent="0.35">
      <c r="D158" s="1">
        <v>45626.250902777778</v>
      </c>
      <c r="E158" t="s">
        <v>36</v>
      </c>
      <c r="F158" t="s">
        <v>10</v>
      </c>
      <c r="G158" t="s">
        <v>44</v>
      </c>
      <c r="H158" t="s">
        <v>33</v>
      </c>
      <c r="I158">
        <v>5</v>
      </c>
      <c r="K158" s="1"/>
    </row>
    <row r="159" spans="4:11" x14ac:dyDescent="0.35">
      <c r="D159" s="1">
        <v>45633.270138888889</v>
      </c>
      <c r="E159" t="s">
        <v>36</v>
      </c>
      <c r="F159" t="s">
        <v>10</v>
      </c>
      <c r="G159" t="s">
        <v>44</v>
      </c>
      <c r="H159" t="s">
        <v>33</v>
      </c>
      <c r="I159">
        <v>5</v>
      </c>
      <c r="K159" s="1"/>
    </row>
    <row r="160" spans="4:11" x14ac:dyDescent="0.35">
      <c r="D160" s="1">
        <v>45640.289375</v>
      </c>
      <c r="E160" t="s">
        <v>36</v>
      </c>
      <c r="F160" t="s">
        <v>10</v>
      </c>
      <c r="G160" t="s">
        <v>44</v>
      </c>
      <c r="H160" t="s">
        <v>33</v>
      </c>
      <c r="I160">
        <v>5</v>
      </c>
      <c r="K160" s="1"/>
    </row>
    <row r="161" spans="4:11" x14ac:dyDescent="0.35">
      <c r="D161" s="1">
        <v>45647.308611111112</v>
      </c>
      <c r="E161" t="s">
        <v>36</v>
      </c>
      <c r="F161" t="s">
        <v>10</v>
      </c>
      <c r="G161" t="s">
        <v>44</v>
      </c>
      <c r="H161" t="s">
        <v>33</v>
      </c>
      <c r="I161">
        <v>5</v>
      </c>
      <c r="K161" s="1"/>
    </row>
    <row r="162" spans="4:11" x14ac:dyDescent="0.35">
      <c r="D162" s="1">
        <v>45654.327847222223</v>
      </c>
      <c r="E162" t="s">
        <v>36</v>
      </c>
      <c r="F162" t="s">
        <v>10</v>
      </c>
      <c r="G162" t="s">
        <v>44</v>
      </c>
      <c r="H162" t="s">
        <v>33</v>
      </c>
      <c r="I162">
        <v>5</v>
      </c>
      <c r="K162" s="1"/>
    </row>
    <row r="163" spans="4:11" x14ac:dyDescent="0.35">
      <c r="D163" s="1">
        <v>44622.5</v>
      </c>
      <c r="E163" t="s">
        <v>56</v>
      </c>
      <c r="F163" t="s">
        <v>11</v>
      </c>
      <c r="G163" t="s">
        <v>57</v>
      </c>
      <c r="H163" t="s">
        <v>35</v>
      </c>
      <c r="I163">
        <v>200</v>
      </c>
      <c r="K163" s="1"/>
    </row>
    <row r="164" spans="4:11" x14ac:dyDescent="0.35">
      <c r="D164" s="1">
        <v>44805</v>
      </c>
      <c r="E164" t="s">
        <v>56</v>
      </c>
      <c r="F164" t="s">
        <v>11</v>
      </c>
      <c r="G164" t="s">
        <v>57</v>
      </c>
      <c r="H164" t="s">
        <v>35</v>
      </c>
      <c r="I164">
        <v>200</v>
      </c>
      <c r="K164" s="1"/>
    </row>
    <row r="165" spans="4:11" x14ac:dyDescent="0.35">
      <c r="D165" s="1">
        <v>44987.5</v>
      </c>
      <c r="E165" t="s">
        <v>56</v>
      </c>
      <c r="F165" t="s">
        <v>11</v>
      </c>
      <c r="G165" t="s">
        <v>57</v>
      </c>
      <c r="H165" t="s">
        <v>35</v>
      </c>
      <c r="I165">
        <v>200</v>
      </c>
      <c r="K165" s="1"/>
    </row>
    <row r="166" spans="4:11" x14ac:dyDescent="0.35">
      <c r="D166" s="1">
        <v>45170</v>
      </c>
      <c r="E166" t="s">
        <v>56</v>
      </c>
      <c r="F166" t="s">
        <v>11</v>
      </c>
      <c r="G166" t="s">
        <v>57</v>
      </c>
      <c r="H166" t="s">
        <v>35</v>
      </c>
      <c r="I166">
        <v>200</v>
      </c>
      <c r="K166" s="1"/>
    </row>
    <row r="167" spans="4:11" x14ac:dyDescent="0.35">
      <c r="D167" s="1">
        <v>45352.5</v>
      </c>
      <c r="E167" t="s">
        <v>56</v>
      </c>
      <c r="F167" t="s">
        <v>11</v>
      </c>
      <c r="G167" t="s">
        <v>57</v>
      </c>
      <c r="H167" t="s">
        <v>35</v>
      </c>
      <c r="I167">
        <v>200</v>
      </c>
      <c r="K167" s="1"/>
    </row>
    <row r="168" spans="4:11" x14ac:dyDescent="0.35">
      <c r="D168" s="1">
        <v>45535</v>
      </c>
      <c r="E168" t="s">
        <v>56</v>
      </c>
      <c r="F168" t="s">
        <v>11</v>
      </c>
      <c r="G168" t="s">
        <v>57</v>
      </c>
      <c r="H168" t="s">
        <v>35</v>
      </c>
      <c r="I168">
        <v>200</v>
      </c>
      <c r="K168" s="1"/>
    </row>
    <row r="169" spans="4:11" x14ac:dyDescent="0.35">
      <c r="D169" s="1">
        <v>44561.666666666664</v>
      </c>
      <c r="E169" t="s">
        <v>58</v>
      </c>
      <c r="F169" t="s">
        <v>24</v>
      </c>
      <c r="G169" t="s">
        <v>77</v>
      </c>
      <c r="H169" t="s">
        <v>35</v>
      </c>
      <c r="I169">
        <v>25</v>
      </c>
      <c r="K169" s="1"/>
    </row>
    <row r="170" spans="4:11" x14ac:dyDescent="0.35">
      <c r="D170" s="1">
        <v>44592.083333333336</v>
      </c>
      <c r="E170" t="s">
        <v>58</v>
      </c>
      <c r="F170" t="s">
        <v>24</v>
      </c>
      <c r="G170" t="s">
        <v>77</v>
      </c>
      <c r="H170" t="s">
        <v>35</v>
      </c>
      <c r="I170">
        <v>25</v>
      </c>
      <c r="K170" s="1"/>
    </row>
    <row r="171" spans="4:11" x14ac:dyDescent="0.35">
      <c r="D171" s="1">
        <v>44622.5</v>
      </c>
      <c r="E171" t="s">
        <v>58</v>
      </c>
      <c r="F171" t="s">
        <v>24</v>
      </c>
      <c r="G171" t="s">
        <v>77</v>
      </c>
      <c r="H171" t="s">
        <v>35</v>
      </c>
      <c r="I171">
        <v>25</v>
      </c>
      <c r="K171" s="1"/>
    </row>
    <row r="172" spans="4:11" x14ac:dyDescent="0.35">
      <c r="D172" s="1">
        <v>44652.916666666664</v>
      </c>
      <c r="E172" t="s">
        <v>58</v>
      </c>
      <c r="F172" t="s">
        <v>24</v>
      </c>
      <c r="G172" t="s">
        <v>77</v>
      </c>
      <c r="H172" t="s">
        <v>35</v>
      </c>
      <c r="I172">
        <v>25</v>
      </c>
      <c r="K172" s="1"/>
    </row>
    <row r="173" spans="4:11" x14ac:dyDescent="0.35">
      <c r="D173" s="1">
        <v>44683.333333333336</v>
      </c>
      <c r="E173" t="s">
        <v>58</v>
      </c>
      <c r="F173" t="s">
        <v>24</v>
      </c>
      <c r="G173" t="s">
        <v>77</v>
      </c>
      <c r="H173" t="s">
        <v>35</v>
      </c>
      <c r="I173">
        <v>25</v>
      </c>
      <c r="K173" s="1"/>
    </row>
    <row r="174" spans="4:11" x14ac:dyDescent="0.35">
      <c r="D174" s="1">
        <v>44713.75</v>
      </c>
      <c r="E174" t="s">
        <v>58</v>
      </c>
      <c r="F174" t="s">
        <v>24</v>
      </c>
      <c r="G174" t="s">
        <v>77</v>
      </c>
      <c r="H174" t="s">
        <v>35</v>
      </c>
      <c r="I174">
        <v>25</v>
      </c>
      <c r="K174" s="1"/>
    </row>
    <row r="175" spans="4:11" x14ac:dyDescent="0.35">
      <c r="D175" s="1">
        <v>44744.166666666664</v>
      </c>
      <c r="E175" t="s">
        <v>58</v>
      </c>
      <c r="F175" t="s">
        <v>24</v>
      </c>
      <c r="G175" t="s">
        <v>77</v>
      </c>
      <c r="H175" t="s">
        <v>35</v>
      </c>
      <c r="I175">
        <v>25</v>
      </c>
      <c r="K175" s="1"/>
    </row>
    <row r="176" spans="4:11" x14ac:dyDescent="0.35">
      <c r="D176" s="1">
        <v>44774.583333333336</v>
      </c>
      <c r="E176" t="s">
        <v>58</v>
      </c>
      <c r="F176" t="s">
        <v>24</v>
      </c>
      <c r="G176" t="s">
        <v>77</v>
      </c>
      <c r="H176" t="s">
        <v>35</v>
      </c>
      <c r="I176">
        <v>25</v>
      </c>
      <c r="K176" s="1"/>
    </row>
    <row r="177" spans="4:11" x14ac:dyDescent="0.35">
      <c r="D177" s="1">
        <v>44805</v>
      </c>
      <c r="E177" t="s">
        <v>58</v>
      </c>
      <c r="F177" t="s">
        <v>24</v>
      </c>
      <c r="G177" t="s">
        <v>77</v>
      </c>
      <c r="H177" t="s">
        <v>35</v>
      </c>
      <c r="I177">
        <v>25</v>
      </c>
      <c r="K177" s="1"/>
    </row>
    <row r="178" spans="4:11" x14ac:dyDescent="0.35">
      <c r="D178" s="1">
        <v>44835.416666666664</v>
      </c>
      <c r="E178" t="s">
        <v>58</v>
      </c>
      <c r="F178" t="s">
        <v>24</v>
      </c>
      <c r="G178" t="s">
        <v>77</v>
      </c>
      <c r="H178" t="s">
        <v>35</v>
      </c>
      <c r="I178">
        <v>25</v>
      </c>
      <c r="K178" s="1"/>
    </row>
    <row r="179" spans="4:11" x14ac:dyDescent="0.35">
      <c r="D179" s="1">
        <v>44865.833333333336</v>
      </c>
      <c r="E179" t="s">
        <v>58</v>
      </c>
      <c r="F179" t="s">
        <v>24</v>
      </c>
      <c r="G179" t="s">
        <v>77</v>
      </c>
      <c r="H179" t="s">
        <v>35</v>
      </c>
      <c r="I179">
        <v>25</v>
      </c>
      <c r="K179" s="1"/>
    </row>
    <row r="180" spans="4:11" x14ac:dyDescent="0.35">
      <c r="D180" s="1">
        <v>44896.25</v>
      </c>
      <c r="E180" t="s">
        <v>58</v>
      </c>
      <c r="F180" t="s">
        <v>24</v>
      </c>
      <c r="G180" t="s">
        <v>77</v>
      </c>
      <c r="H180" t="s">
        <v>35</v>
      </c>
      <c r="I180">
        <v>25</v>
      </c>
      <c r="K180" s="1"/>
    </row>
    <row r="181" spans="4:11" x14ac:dyDescent="0.35">
      <c r="D181" s="1">
        <v>44926.666666666664</v>
      </c>
      <c r="E181" t="s">
        <v>58</v>
      </c>
      <c r="F181" t="s">
        <v>24</v>
      </c>
      <c r="G181" t="s">
        <v>77</v>
      </c>
      <c r="H181" t="s">
        <v>35</v>
      </c>
      <c r="I181">
        <v>25</v>
      </c>
      <c r="K181" s="1"/>
    </row>
    <row r="182" spans="4:11" x14ac:dyDescent="0.35">
      <c r="D182" s="1">
        <v>44957.083333333336</v>
      </c>
      <c r="E182" t="s">
        <v>58</v>
      </c>
      <c r="F182" t="s">
        <v>24</v>
      </c>
      <c r="G182" t="s">
        <v>77</v>
      </c>
      <c r="H182" t="s">
        <v>35</v>
      </c>
      <c r="I182">
        <v>25</v>
      </c>
      <c r="K182" s="1"/>
    </row>
    <row r="183" spans="4:11" x14ac:dyDescent="0.35">
      <c r="D183" s="1">
        <v>44987.5</v>
      </c>
      <c r="E183" t="s">
        <v>58</v>
      </c>
      <c r="F183" t="s">
        <v>24</v>
      </c>
      <c r="G183" t="s">
        <v>77</v>
      </c>
      <c r="H183" t="s">
        <v>35</v>
      </c>
      <c r="I183">
        <v>25</v>
      </c>
      <c r="K183" s="1"/>
    </row>
    <row r="184" spans="4:11" x14ac:dyDescent="0.35">
      <c r="D184" s="1">
        <v>45017.916666666664</v>
      </c>
      <c r="E184" t="s">
        <v>58</v>
      </c>
      <c r="F184" t="s">
        <v>24</v>
      </c>
      <c r="G184" t="s">
        <v>77</v>
      </c>
      <c r="H184" t="s">
        <v>35</v>
      </c>
      <c r="I184">
        <v>25</v>
      </c>
      <c r="K184" s="1"/>
    </row>
    <row r="185" spans="4:11" x14ac:dyDescent="0.35">
      <c r="D185" s="1">
        <v>45048.333333333336</v>
      </c>
      <c r="E185" t="s">
        <v>58</v>
      </c>
      <c r="F185" t="s">
        <v>24</v>
      </c>
      <c r="G185" t="s">
        <v>77</v>
      </c>
      <c r="H185" t="s">
        <v>35</v>
      </c>
      <c r="I185">
        <v>25</v>
      </c>
      <c r="K185" s="1"/>
    </row>
    <row r="186" spans="4:11" x14ac:dyDescent="0.35">
      <c r="D186" s="1">
        <v>45078.75</v>
      </c>
      <c r="E186" t="s">
        <v>58</v>
      </c>
      <c r="F186" t="s">
        <v>24</v>
      </c>
      <c r="G186" t="s">
        <v>77</v>
      </c>
      <c r="H186" t="s">
        <v>35</v>
      </c>
      <c r="I186">
        <v>25</v>
      </c>
      <c r="K186" s="1"/>
    </row>
    <row r="187" spans="4:11" x14ac:dyDescent="0.35">
      <c r="D187" s="1">
        <v>45109.166666666664</v>
      </c>
      <c r="E187" t="s">
        <v>58</v>
      </c>
      <c r="F187" t="s">
        <v>24</v>
      </c>
      <c r="G187" t="s">
        <v>77</v>
      </c>
      <c r="H187" t="s">
        <v>35</v>
      </c>
      <c r="I187">
        <v>25</v>
      </c>
      <c r="K187" s="1"/>
    </row>
    <row r="188" spans="4:11" x14ac:dyDescent="0.35">
      <c r="D188" s="1">
        <v>45139.583333333336</v>
      </c>
      <c r="E188" t="s">
        <v>58</v>
      </c>
      <c r="F188" t="s">
        <v>24</v>
      </c>
      <c r="G188" t="s">
        <v>77</v>
      </c>
      <c r="H188" t="s">
        <v>35</v>
      </c>
      <c r="I188">
        <v>25</v>
      </c>
      <c r="K188" s="1"/>
    </row>
    <row r="189" spans="4:11" x14ac:dyDescent="0.35">
      <c r="D189" s="1">
        <v>45170</v>
      </c>
      <c r="E189" t="s">
        <v>58</v>
      </c>
      <c r="F189" t="s">
        <v>24</v>
      </c>
      <c r="G189" t="s">
        <v>77</v>
      </c>
      <c r="H189" t="s">
        <v>35</v>
      </c>
      <c r="I189">
        <v>25</v>
      </c>
      <c r="K189" s="1"/>
    </row>
    <row r="190" spans="4:11" x14ac:dyDescent="0.35">
      <c r="D190" s="1">
        <v>45200.416666666664</v>
      </c>
      <c r="E190" t="s">
        <v>58</v>
      </c>
      <c r="F190" t="s">
        <v>24</v>
      </c>
      <c r="G190" t="s">
        <v>77</v>
      </c>
      <c r="H190" t="s">
        <v>35</v>
      </c>
      <c r="I190">
        <v>25</v>
      </c>
      <c r="K190" s="1"/>
    </row>
    <row r="191" spans="4:11" x14ac:dyDescent="0.35">
      <c r="D191" s="1">
        <v>45230.833333333336</v>
      </c>
      <c r="E191" t="s">
        <v>58</v>
      </c>
      <c r="F191" t="s">
        <v>24</v>
      </c>
      <c r="G191" t="s">
        <v>77</v>
      </c>
      <c r="H191" t="s">
        <v>35</v>
      </c>
      <c r="I191">
        <v>25</v>
      </c>
      <c r="K191" s="1"/>
    </row>
    <row r="192" spans="4:11" x14ac:dyDescent="0.35">
      <c r="D192" s="1">
        <v>45261.25</v>
      </c>
      <c r="E192" t="s">
        <v>58</v>
      </c>
      <c r="F192" t="s">
        <v>24</v>
      </c>
      <c r="G192" t="s">
        <v>77</v>
      </c>
      <c r="H192" t="s">
        <v>35</v>
      </c>
      <c r="I192">
        <v>25</v>
      </c>
      <c r="K192" s="1"/>
    </row>
    <row r="193" spans="4:11" x14ac:dyDescent="0.35">
      <c r="D193" s="1">
        <v>45291.666666666664</v>
      </c>
      <c r="E193" t="s">
        <v>58</v>
      </c>
      <c r="F193" t="s">
        <v>24</v>
      </c>
      <c r="G193" t="s">
        <v>77</v>
      </c>
      <c r="H193" t="s">
        <v>35</v>
      </c>
      <c r="I193">
        <v>25</v>
      </c>
      <c r="K193" s="1"/>
    </row>
    <row r="194" spans="4:11" x14ac:dyDescent="0.35">
      <c r="D194" s="1">
        <v>45322.083333333336</v>
      </c>
      <c r="E194" t="s">
        <v>58</v>
      </c>
      <c r="F194" t="s">
        <v>24</v>
      </c>
      <c r="G194" t="s">
        <v>77</v>
      </c>
      <c r="H194" t="s">
        <v>35</v>
      </c>
      <c r="I194">
        <v>25</v>
      </c>
      <c r="K194" s="1"/>
    </row>
    <row r="195" spans="4:11" x14ac:dyDescent="0.35">
      <c r="D195" s="1">
        <v>45352.5</v>
      </c>
      <c r="E195" t="s">
        <v>58</v>
      </c>
      <c r="F195" t="s">
        <v>24</v>
      </c>
      <c r="G195" t="s">
        <v>77</v>
      </c>
      <c r="H195" t="s">
        <v>35</v>
      </c>
      <c r="I195">
        <v>25</v>
      </c>
      <c r="K195" s="1"/>
    </row>
    <row r="196" spans="4:11" x14ac:dyDescent="0.35">
      <c r="D196" s="1">
        <v>45382.916666666664</v>
      </c>
      <c r="E196" t="s">
        <v>58</v>
      </c>
      <c r="F196" t="s">
        <v>24</v>
      </c>
      <c r="G196" t="s">
        <v>77</v>
      </c>
      <c r="H196" t="s">
        <v>35</v>
      </c>
      <c r="I196">
        <v>25</v>
      </c>
      <c r="K196" s="1"/>
    </row>
    <row r="197" spans="4:11" x14ac:dyDescent="0.35">
      <c r="D197" s="1">
        <v>45413.333333333336</v>
      </c>
      <c r="E197" t="s">
        <v>58</v>
      </c>
      <c r="F197" t="s">
        <v>24</v>
      </c>
      <c r="G197" t="s">
        <v>77</v>
      </c>
      <c r="H197" t="s">
        <v>35</v>
      </c>
      <c r="I197">
        <v>25</v>
      </c>
      <c r="K197" s="1"/>
    </row>
    <row r="198" spans="4:11" x14ac:dyDescent="0.35">
      <c r="D198" s="1">
        <v>45443.75</v>
      </c>
      <c r="E198" t="s">
        <v>58</v>
      </c>
      <c r="F198" t="s">
        <v>24</v>
      </c>
      <c r="G198" t="s">
        <v>77</v>
      </c>
      <c r="H198" t="s">
        <v>35</v>
      </c>
      <c r="I198">
        <v>25</v>
      </c>
      <c r="K198" s="1"/>
    </row>
    <row r="199" spans="4:11" x14ac:dyDescent="0.35">
      <c r="D199" s="1">
        <v>45474.166666666664</v>
      </c>
      <c r="E199" t="s">
        <v>58</v>
      </c>
      <c r="F199" t="s">
        <v>24</v>
      </c>
      <c r="G199" t="s">
        <v>77</v>
      </c>
      <c r="H199" t="s">
        <v>35</v>
      </c>
      <c r="I199">
        <v>25</v>
      </c>
      <c r="K199" s="1"/>
    </row>
    <row r="200" spans="4:11" x14ac:dyDescent="0.35">
      <c r="D200" s="1">
        <v>45504.583333333336</v>
      </c>
      <c r="E200" t="s">
        <v>58</v>
      </c>
      <c r="F200" t="s">
        <v>24</v>
      </c>
      <c r="G200" t="s">
        <v>77</v>
      </c>
      <c r="H200" t="s">
        <v>35</v>
      </c>
      <c r="I200">
        <v>25</v>
      </c>
      <c r="K200" s="1"/>
    </row>
    <row r="201" spans="4:11" x14ac:dyDescent="0.35">
      <c r="D201" s="1">
        <v>45535</v>
      </c>
      <c r="E201" t="s">
        <v>58</v>
      </c>
      <c r="F201" t="s">
        <v>24</v>
      </c>
      <c r="G201" t="s">
        <v>77</v>
      </c>
      <c r="H201" t="s">
        <v>35</v>
      </c>
      <c r="I201">
        <v>25</v>
      </c>
      <c r="K201" s="1"/>
    </row>
    <row r="202" spans="4:11" x14ac:dyDescent="0.35">
      <c r="D202" s="1">
        <v>45565.416666666664</v>
      </c>
      <c r="E202" t="s">
        <v>58</v>
      </c>
      <c r="F202" t="s">
        <v>24</v>
      </c>
      <c r="G202" t="s">
        <v>77</v>
      </c>
      <c r="H202" t="s">
        <v>35</v>
      </c>
      <c r="I202">
        <v>25</v>
      </c>
      <c r="K202" s="1"/>
    </row>
    <row r="203" spans="4:11" x14ac:dyDescent="0.35">
      <c r="D203" s="1">
        <v>45595.833333333336</v>
      </c>
      <c r="E203" t="s">
        <v>58</v>
      </c>
      <c r="F203" t="s">
        <v>24</v>
      </c>
      <c r="G203" t="s">
        <v>77</v>
      </c>
      <c r="H203" t="s">
        <v>35</v>
      </c>
      <c r="I203">
        <v>25</v>
      </c>
      <c r="K203" s="1"/>
    </row>
    <row r="204" spans="4:11" x14ac:dyDescent="0.35">
      <c r="D204" s="1">
        <v>45626.25</v>
      </c>
      <c r="E204" t="s">
        <v>58</v>
      </c>
      <c r="F204" t="s">
        <v>24</v>
      </c>
      <c r="G204" t="s">
        <v>77</v>
      </c>
      <c r="H204" t="s">
        <v>35</v>
      </c>
      <c r="I204">
        <v>25</v>
      </c>
      <c r="K204" s="1"/>
    </row>
    <row r="205" spans="4:11" x14ac:dyDescent="0.35">
      <c r="D205" s="1">
        <v>45656.666666666664</v>
      </c>
      <c r="E205" t="s">
        <v>58</v>
      </c>
      <c r="F205" t="s">
        <v>24</v>
      </c>
      <c r="G205" t="s">
        <v>77</v>
      </c>
      <c r="H205" t="s">
        <v>35</v>
      </c>
      <c r="I205">
        <v>25</v>
      </c>
      <c r="K205" s="1"/>
    </row>
    <row r="206" spans="4:11" x14ac:dyDescent="0.35">
      <c r="D206" s="1">
        <v>44538.269305555557</v>
      </c>
      <c r="E206" t="s">
        <v>53</v>
      </c>
      <c r="F206" t="s">
        <v>11</v>
      </c>
      <c r="G206" t="s">
        <v>78</v>
      </c>
      <c r="H206" t="s">
        <v>33</v>
      </c>
      <c r="I206">
        <v>50</v>
      </c>
      <c r="K206" s="1"/>
    </row>
    <row r="207" spans="4:11" x14ac:dyDescent="0.35">
      <c r="D207" s="1">
        <v>44545.288541666669</v>
      </c>
      <c r="E207" t="s">
        <v>53</v>
      </c>
      <c r="F207" t="s">
        <v>11</v>
      </c>
      <c r="G207" t="s">
        <v>78</v>
      </c>
      <c r="H207" t="s">
        <v>33</v>
      </c>
      <c r="I207">
        <v>50</v>
      </c>
      <c r="K207" s="1"/>
    </row>
    <row r="208" spans="4:11" x14ac:dyDescent="0.35">
      <c r="D208" s="1">
        <v>44552.30777777778</v>
      </c>
      <c r="E208" t="s">
        <v>53</v>
      </c>
      <c r="F208" t="s">
        <v>11</v>
      </c>
      <c r="G208" t="s">
        <v>78</v>
      </c>
      <c r="H208" t="s">
        <v>33</v>
      </c>
      <c r="I208">
        <v>50</v>
      </c>
      <c r="K208" s="1"/>
    </row>
    <row r="209" spans="4:11" x14ac:dyDescent="0.35">
      <c r="D209" s="1">
        <v>44559.327013888891</v>
      </c>
      <c r="E209" t="s">
        <v>53</v>
      </c>
      <c r="F209" t="s">
        <v>11</v>
      </c>
      <c r="G209" t="s">
        <v>78</v>
      </c>
      <c r="H209" t="s">
        <v>33</v>
      </c>
      <c r="I209">
        <v>50</v>
      </c>
      <c r="K209" s="1"/>
    </row>
    <row r="210" spans="4:11" x14ac:dyDescent="0.35">
      <c r="D210" s="1">
        <v>44566.346250000002</v>
      </c>
      <c r="E210" t="s">
        <v>53</v>
      </c>
      <c r="F210" t="s">
        <v>11</v>
      </c>
      <c r="G210" t="s">
        <v>78</v>
      </c>
      <c r="H210" t="s">
        <v>33</v>
      </c>
      <c r="I210">
        <v>50</v>
      </c>
      <c r="K210" s="1"/>
    </row>
    <row r="211" spans="4:11" x14ac:dyDescent="0.35">
      <c r="D211" s="1">
        <v>44573.365486111114</v>
      </c>
      <c r="E211" t="s">
        <v>53</v>
      </c>
      <c r="F211" t="s">
        <v>11</v>
      </c>
      <c r="G211" t="s">
        <v>78</v>
      </c>
      <c r="H211" t="s">
        <v>33</v>
      </c>
      <c r="I211">
        <v>50</v>
      </c>
      <c r="K211" s="1"/>
    </row>
    <row r="212" spans="4:11" x14ac:dyDescent="0.35">
      <c r="D212" s="1">
        <v>44580.384722222225</v>
      </c>
      <c r="E212" t="s">
        <v>53</v>
      </c>
      <c r="F212" t="s">
        <v>11</v>
      </c>
      <c r="G212" t="s">
        <v>78</v>
      </c>
      <c r="H212" t="s">
        <v>33</v>
      </c>
      <c r="I212">
        <v>50</v>
      </c>
      <c r="K212" s="1"/>
    </row>
    <row r="213" spans="4:11" x14ac:dyDescent="0.35">
      <c r="D213" s="1">
        <v>44587.403958333336</v>
      </c>
      <c r="E213" t="s">
        <v>53</v>
      </c>
      <c r="F213" t="s">
        <v>11</v>
      </c>
      <c r="G213" t="s">
        <v>78</v>
      </c>
      <c r="H213" t="s">
        <v>33</v>
      </c>
      <c r="I213">
        <v>50</v>
      </c>
      <c r="K213" s="1"/>
    </row>
    <row r="214" spans="4:11" x14ac:dyDescent="0.35">
      <c r="D214" s="1">
        <v>44594.423194444447</v>
      </c>
      <c r="E214" t="s">
        <v>53</v>
      </c>
      <c r="F214" t="s">
        <v>11</v>
      </c>
      <c r="G214" t="s">
        <v>78</v>
      </c>
      <c r="H214" t="s">
        <v>33</v>
      </c>
      <c r="I214">
        <v>50</v>
      </c>
      <c r="K214" s="1"/>
    </row>
    <row r="215" spans="4:11" x14ac:dyDescent="0.35">
      <c r="D215" s="1">
        <v>44601.442430555559</v>
      </c>
      <c r="E215" t="s">
        <v>53</v>
      </c>
      <c r="F215" t="s">
        <v>11</v>
      </c>
      <c r="G215" t="s">
        <v>78</v>
      </c>
      <c r="H215" t="s">
        <v>33</v>
      </c>
      <c r="I215">
        <v>50</v>
      </c>
      <c r="K215" s="1"/>
    </row>
    <row r="216" spans="4:11" x14ac:dyDescent="0.35">
      <c r="D216" s="1">
        <v>44608.46166666667</v>
      </c>
      <c r="E216" t="s">
        <v>53</v>
      </c>
      <c r="F216" t="s">
        <v>11</v>
      </c>
      <c r="G216" t="s">
        <v>78</v>
      </c>
      <c r="H216" t="s">
        <v>33</v>
      </c>
      <c r="I216">
        <v>50</v>
      </c>
      <c r="K216" s="1"/>
    </row>
    <row r="217" spans="4:11" x14ac:dyDescent="0.35">
      <c r="D217" s="1">
        <v>44615.480902777781</v>
      </c>
      <c r="E217" t="s">
        <v>53</v>
      </c>
      <c r="F217" t="s">
        <v>11</v>
      </c>
      <c r="G217" t="s">
        <v>78</v>
      </c>
      <c r="H217" t="s">
        <v>33</v>
      </c>
      <c r="I217">
        <v>50</v>
      </c>
      <c r="K217" s="1"/>
    </row>
    <row r="218" spans="4:11" x14ac:dyDescent="0.35">
      <c r="D218" s="1">
        <v>44622.500138888892</v>
      </c>
      <c r="E218" t="s">
        <v>53</v>
      </c>
      <c r="F218" t="s">
        <v>11</v>
      </c>
      <c r="G218" t="s">
        <v>78</v>
      </c>
      <c r="H218" t="s">
        <v>33</v>
      </c>
      <c r="I218">
        <v>50</v>
      </c>
      <c r="K218" s="1"/>
    </row>
    <row r="219" spans="4:11" x14ac:dyDescent="0.35">
      <c r="D219" s="1">
        <v>44629.519375000003</v>
      </c>
      <c r="E219" t="s">
        <v>53</v>
      </c>
      <c r="F219" t="s">
        <v>11</v>
      </c>
      <c r="G219" t="s">
        <v>78</v>
      </c>
      <c r="H219" t="s">
        <v>33</v>
      </c>
      <c r="I219">
        <v>50</v>
      </c>
      <c r="K219" s="1"/>
    </row>
    <row r="220" spans="4:11" x14ac:dyDescent="0.35">
      <c r="D220" s="1">
        <v>44636.538611111115</v>
      </c>
      <c r="E220" t="s">
        <v>53</v>
      </c>
      <c r="F220" t="s">
        <v>11</v>
      </c>
      <c r="G220" t="s">
        <v>78</v>
      </c>
      <c r="H220" t="s">
        <v>33</v>
      </c>
      <c r="I220">
        <v>50</v>
      </c>
      <c r="K220" s="1"/>
    </row>
    <row r="221" spans="4:11" x14ac:dyDescent="0.35">
      <c r="D221" s="1">
        <v>44643.557847222219</v>
      </c>
      <c r="E221" t="s">
        <v>53</v>
      </c>
      <c r="F221" t="s">
        <v>11</v>
      </c>
      <c r="G221" t="s">
        <v>78</v>
      </c>
      <c r="H221" t="s">
        <v>33</v>
      </c>
      <c r="I221">
        <v>50</v>
      </c>
      <c r="K221" s="1"/>
    </row>
    <row r="222" spans="4:11" x14ac:dyDescent="0.35">
      <c r="D222" s="1">
        <v>44650.57708333333</v>
      </c>
      <c r="E222" t="s">
        <v>53</v>
      </c>
      <c r="F222" t="s">
        <v>11</v>
      </c>
      <c r="G222" t="s">
        <v>78</v>
      </c>
      <c r="H222" t="s">
        <v>33</v>
      </c>
      <c r="I222">
        <v>50</v>
      </c>
      <c r="K222" s="1"/>
    </row>
    <row r="223" spans="4:11" x14ac:dyDescent="0.35">
      <c r="D223" s="1">
        <v>44657.596319444441</v>
      </c>
      <c r="E223" t="s">
        <v>53</v>
      </c>
      <c r="F223" t="s">
        <v>11</v>
      </c>
      <c r="G223" t="s">
        <v>78</v>
      </c>
      <c r="H223" t="s">
        <v>33</v>
      </c>
      <c r="I223">
        <v>50</v>
      </c>
      <c r="K223" s="1"/>
    </row>
    <row r="224" spans="4:11" x14ac:dyDescent="0.35">
      <c r="D224" s="1">
        <v>44664.615555555552</v>
      </c>
      <c r="E224" t="s">
        <v>53</v>
      </c>
      <c r="F224" t="s">
        <v>11</v>
      </c>
      <c r="G224" t="s">
        <v>78</v>
      </c>
      <c r="H224" t="s">
        <v>33</v>
      </c>
      <c r="I224">
        <v>50</v>
      </c>
      <c r="K224" s="1"/>
    </row>
    <row r="225" spans="4:11" x14ac:dyDescent="0.35">
      <c r="D225" s="1">
        <v>44671.634791666664</v>
      </c>
      <c r="E225" t="s">
        <v>53</v>
      </c>
      <c r="F225" t="s">
        <v>11</v>
      </c>
      <c r="G225" t="s">
        <v>78</v>
      </c>
      <c r="H225" t="s">
        <v>33</v>
      </c>
      <c r="I225">
        <v>50</v>
      </c>
      <c r="K225" s="1"/>
    </row>
    <row r="226" spans="4:11" x14ac:dyDescent="0.35">
      <c r="D226" s="1">
        <v>44678.654027777775</v>
      </c>
      <c r="E226" t="s">
        <v>53</v>
      </c>
      <c r="F226" t="s">
        <v>11</v>
      </c>
      <c r="G226" t="s">
        <v>78</v>
      </c>
      <c r="H226" t="s">
        <v>33</v>
      </c>
      <c r="I226">
        <v>50</v>
      </c>
      <c r="K226" s="1"/>
    </row>
    <row r="227" spans="4:11" x14ac:dyDescent="0.35">
      <c r="D227" s="1">
        <v>44685.673263888886</v>
      </c>
      <c r="E227" t="s">
        <v>53</v>
      </c>
      <c r="F227" t="s">
        <v>11</v>
      </c>
      <c r="G227" t="s">
        <v>78</v>
      </c>
      <c r="H227" t="s">
        <v>33</v>
      </c>
      <c r="I227">
        <v>50</v>
      </c>
      <c r="K227" s="1"/>
    </row>
    <row r="228" spans="4:11" x14ac:dyDescent="0.35">
      <c r="D228" s="1">
        <v>44692.692499999997</v>
      </c>
      <c r="E228" t="s">
        <v>53</v>
      </c>
      <c r="F228" t="s">
        <v>11</v>
      </c>
      <c r="G228" t="s">
        <v>78</v>
      </c>
      <c r="H228" t="s">
        <v>33</v>
      </c>
      <c r="I228">
        <v>50</v>
      </c>
      <c r="K228" s="1"/>
    </row>
    <row r="229" spans="4:11" x14ac:dyDescent="0.35">
      <c r="D229" s="1">
        <v>44699.711736111109</v>
      </c>
      <c r="E229" t="s">
        <v>53</v>
      </c>
      <c r="F229" t="s">
        <v>11</v>
      </c>
      <c r="G229" t="s">
        <v>78</v>
      </c>
      <c r="H229" t="s">
        <v>33</v>
      </c>
      <c r="I229">
        <v>50</v>
      </c>
      <c r="K229" s="1"/>
    </row>
    <row r="230" spans="4:11" x14ac:dyDescent="0.35">
      <c r="D230" s="1">
        <v>44706.73097222222</v>
      </c>
      <c r="E230" t="s">
        <v>53</v>
      </c>
      <c r="F230" t="s">
        <v>11</v>
      </c>
      <c r="G230" t="s">
        <v>78</v>
      </c>
      <c r="H230" t="s">
        <v>33</v>
      </c>
      <c r="I230">
        <v>50</v>
      </c>
      <c r="K230" s="1"/>
    </row>
    <row r="231" spans="4:11" x14ac:dyDescent="0.35">
      <c r="D231" s="1">
        <v>44713.750208333331</v>
      </c>
      <c r="E231" t="s">
        <v>53</v>
      </c>
      <c r="F231" t="s">
        <v>11</v>
      </c>
      <c r="G231" t="s">
        <v>78</v>
      </c>
      <c r="H231" t="s">
        <v>33</v>
      </c>
      <c r="I231">
        <v>50</v>
      </c>
      <c r="K231" s="1"/>
    </row>
    <row r="232" spans="4:11" x14ac:dyDescent="0.35">
      <c r="D232" s="1">
        <v>44720.769444444442</v>
      </c>
      <c r="E232" t="s">
        <v>53</v>
      </c>
      <c r="F232" t="s">
        <v>11</v>
      </c>
      <c r="G232" t="s">
        <v>78</v>
      </c>
      <c r="H232" t="s">
        <v>33</v>
      </c>
      <c r="I232">
        <v>50</v>
      </c>
      <c r="K232" s="1"/>
    </row>
    <row r="233" spans="4:11" x14ac:dyDescent="0.35">
      <c r="D233" s="1">
        <v>44727.788680555554</v>
      </c>
      <c r="E233" t="s">
        <v>53</v>
      </c>
      <c r="F233" t="s">
        <v>11</v>
      </c>
      <c r="G233" t="s">
        <v>78</v>
      </c>
      <c r="H233" t="s">
        <v>33</v>
      </c>
      <c r="I233">
        <v>50</v>
      </c>
      <c r="K233" s="1"/>
    </row>
    <row r="234" spans="4:11" x14ac:dyDescent="0.35">
      <c r="D234" s="1">
        <v>44734.807916666665</v>
      </c>
      <c r="E234" t="s">
        <v>53</v>
      </c>
      <c r="F234" t="s">
        <v>11</v>
      </c>
      <c r="G234" t="s">
        <v>78</v>
      </c>
      <c r="H234" t="s">
        <v>33</v>
      </c>
      <c r="I234">
        <v>50</v>
      </c>
      <c r="K234" s="1"/>
    </row>
    <row r="235" spans="4:11" x14ac:dyDescent="0.35">
      <c r="D235" s="1">
        <v>44741.827152777776</v>
      </c>
      <c r="E235" t="s">
        <v>53</v>
      </c>
      <c r="F235" t="s">
        <v>11</v>
      </c>
      <c r="G235" t="s">
        <v>78</v>
      </c>
      <c r="H235" t="s">
        <v>33</v>
      </c>
      <c r="I235">
        <v>50</v>
      </c>
      <c r="K235" s="1"/>
    </row>
    <row r="236" spans="4:11" x14ac:dyDescent="0.35">
      <c r="D236" s="1">
        <v>44748.846388888887</v>
      </c>
      <c r="E236" t="s">
        <v>53</v>
      </c>
      <c r="F236" t="s">
        <v>11</v>
      </c>
      <c r="G236" t="s">
        <v>78</v>
      </c>
      <c r="H236" t="s">
        <v>33</v>
      </c>
      <c r="I236">
        <v>50</v>
      </c>
      <c r="K236" s="1"/>
    </row>
    <row r="237" spans="4:11" x14ac:dyDescent="0.35">
      <c r="D237" s="1">
        <v>44755.865624999999</v>
      </c>
      <c r="E237" t="s">
        <v>53</v>
      </c>
      <c r="F237" t="s">
        <v>11</v>
      </c>
      <c r="G237" t="s">
        <v>78</v>
      </c>
      <c r="H237" t="s">
        <v>33</v>
      </c>
      <c r="I237">
        <v>50</v>
      </c>
      <c r="K237" s="1"/>
    </row>
    <row r="238" spans="4:11" x14ac:dyDescent="0.35">
      <c r="D238" s="1">
        <v>44762.88486111111</v>
      </c>
      <c r="E238" t="s">
        <v>53</v>
      </c>
      <c r="F238" t="s">
        <v>11</v>
      </c>
      <c r="G238" t="s">
        <v>78</v>
      </c>
      <c r="H238" t="s">
        <v>33</v>
      </c>
      <c r="I238">
        <v>50</v>
      </c>
      <c r="K238" s="1"/>
    </row>
    <row r="239" spans="4:11" x14ac:dyDescent="0.35">
      <c r="D239" s="1">
        <v>44769.904097222221</v>
      </c>
      <c r="E239" t="s">
        <v>53</v>
      </c>
      <c r="F239" t="s">
        <v>11</v>
      </c>
      <c r="G239" t="s">
        <v>78</v>
      </c>
      <c r="H239" t="s">
        <v>33</v>
      </c>
      <c r="I239">
        <v>50</v>
      </c>
      <c r="K239" s="1"/>
    </row>
    <row r="240" spans="4:11" x14ac:dyDescent="0.35">
      <c r="D240" s="1">
        <v>44776.923333333332</v>
      </c>
      <c r="E240" t="s">
        <v>53</v>
      </c>
      <c r="F240" t="s">
        <v>11</v>
      </c>
      <c r="G240" t="s">
        <v>78</v>
      </c>
      <c r="H240" t="s">
        <v>33</v>
      </c>
      <c r="I240">
        <v>50</v>
      </c>
      <c r="K240" s="1"/>
    </row>
    <row r="241" spans="4:11" x14ac:dyDescent="0.35">
      <c r="D241" s="1">
        <v>44783.942569444444</v>
      </c>
      <c r="E241" t="s">
        <v>53</v>
      </c>
      <c r="F241" t="s">
        <v>11</v>
      </c>
      <c r="G241" t="s">
        <v>78</v>
      </c>
      <c r="H241" t="s">
        <v>33</v>
      </c>
      <c r="I241">
        <v>50</v>
      </c>
      <c r="K241" s="1"/>
    </row>
    <row r="242" spans="4:11" x14ac:dyDescent="0.35">
      <c r="D242" s="1">
        <v>44790.961805555555</v>
      </c>
      <c r="E242" t="s">
        <v>53</v>
      </c>
      <c r="F242" t="s">
        <v>11</v>
      </c>
      <c r="G242" t="s">
        <v>78</v>
      </c>
      <c r="H242" t="s">
        <v>33</v>
      </c>
      <c r="I242">
        <v>50</v>
      </c>
      <c r="K242" s="1"/>
    </row>
    <row r="243" spans="4:11" x14ac:dyDescent="0.35">
      <c r="D243" s="1">
        <v>44797.981041666666</v>
      </c>
      <c r="E243" t="s">
        <v>53</v>
      </c>
      <c r="F243" t="s">
        <v>11</v>
      </c>
      <c r="G243" t="s">
        <v>78</v>
      </c>
      <c r="H243" t="s">
        <v>33</v>
      </c>
      <c r="I243">
        <v>50</v>
      </c>
      <c r="K243" s="1"/>
    </row>
    <row r="244" spans="4:11" x14ac:dyDescent="0.35">
      <c r="D244" s="1">
        <v>44805.000277777777</v>
      </c>
      <c r="E244" t="s">
        <v>53</v>
      </c>
      <c r="F244" t="s">
        <v>11</v>
      </c>
      <c r="G244" t="s">
        <v>78</v>
      </c>
      <c r="H244" t="s">
        <v>33</v>
      </c>
      <c r="I244">
        <v>50</v>
      </c>
      <c r="K244" s="1"/>
    </row>
    <row r="245" spans="4:11" x14ac:dyDescent="0.35">
      <c r="D245" s="1">
        <v>44812.019513888888</v>
      </c>
      <c r="E245" t="s">
        <v>53</v>
      </c>
      <c r="F245" t="s">
        <v>11</v>
      </c>
      <c r="G245" t="s">
        <v>78</v>
      </c>
      <c r="H245" t="s">
        <v>33</v>
      </c>
      <c r="I245">
        <v>50</v>
      </c>
      <c r="K245" s="1"/>
    </row>
    <row r="246" spans="4:11" x14ac:dyDescent="0.35">
      <c r="D246" s="1">
        <v>44819.03875</v>
      </c>
      <c r="E246" t="s">
        <v>53</v>
      </c>
      <c r="F246" t="s">
        <v>11</v>
      </c>
      <c r="G246" t="s">
        <v>78</v>
      </c>
      <c r="H246" t="s">
        <v>33</v>
      </c>
      <c r="I246">
        <v>50</v>
      </c>
      <c r="K246" s="1"/>
    </row>
    <row r="247" spans="4:11" x14ac:dyDescent="0.35">
      <c r="D247" s="1">
        <v>44826.057986111111</v>
      </c>
      <c r="E247" t="s">
        <v>53</v>
      </c>
      <c r="F247" t="s">
        <v>11</v>
      </c>
      <c r="G247" t="s">
        <v>78</v>
      </c>
      <c r="H247" t="s">
        <v>33</v>
      </c>
      <c r="I247">
        <v>50</v>
      </c>
      <c r="K247" s="1"/>
    </row>
    <row r="248" spans="4:11" x14ac:dyDescent="0.35">
      <c r="D248" s="1">
        <v>44833.077222222222</v>
      </c>
      <c r="E248" t="s">
        <v>53</v>
      </c>
      <c r="F248" t="s">
        <v>11</v>
      </c>
      <c r="G248" t="s">
        <v>78</v>
      </c>
      <c r="H248" t="s">
        <v>33</v>
      </c>
      <c r="I248">
        <v>50</v>
      </c>
      <c r="K248" s="1"/>
    </row>
    <row r="249" spans="4:11" x14ac:dyDescent="0.35">
      <c r="D249" s="1">
        <v>44840.096458333333</v>
      </c>
      <c r="E249" t="s">
        <v>53</v>
      </c>
      <c r="F249" t="s">
        <v>11</v>
      </c>
      <c r="G249" t="s">
        <v>78</v>
      </c>
      <c r="H249" t="s">
        <v>33</v>
      </c>
      <c r="I249">
        <v>50</v>
      </c>
      <c r="K249" s="1"/>
    </row>
    <row r="250" spans="4:11" x14ac:dyDescent="0.35">
      <c r="D250" s="1">
        <v>44847.115694444445</v>
      </c>
      <c r="E250" t="s">
        <v>53</v>
      </c>
      <c r="F250" t="s">
        <v>11</v>
      </c>
      <c r="G250" t="s">
        <v>78</v>
      </c>
      <c r="H250" t="s">
        <v>33</v>
      </c>
      <c r="I250">
        <v>50</v>
      </c>
      <c r="K250" s="1"/>
    </row>
    <row r="251" spans="4:11" x14ac:dyDescent="0.35">
      <c r="D251" s="1">
        <v>44854.134930555556</v>
      </c>
      <c r="E251" t="s">
        <v>53</v>
      </c>
      <c r="F251" t="s">
        <v>11</v>
      </c>
      <c r="G251" t="s">
        <v>78</v>
      </c>
      <c r="H251" t="s">
        <v>33</v>
      </c>
      <c r="I251">
        <v>50</v>
      </c>
      <c r="K251" s="1"/>
    </row>
    <row r="252" spans="4:11" x14ac:dyDescent="0.35">
      <c r="D252" s="1">
        <v>44861.154166666667</v>
      </c>
      <c r="E252" t="s">
        <v>53</v>
      </c>
      <c r="F252" t="s">
        <v>11</v>
      </c>
      <c r="G252" t="s">
        <v>78</v>
      </c>
      <c r="H252" t="s">
        <v>33</v>
      </c>
      <c r="I252">
        <v>50</v>
      </c>
      <c r="K252" s="1"/>
    </row>
    <row r="253" spans="4:11" x14ac:dyDescent="0.35">
      <c r="D253" s="1">
        <v>44868.173402777778</v>
      </c>
      <c r="E253" t="s">
        <v>53</v>
      </c>
      <c r="F253" t="s">
        <v>11</v>
      </c>
      <c r="G253" t="s">
        <v>78</v>
      </c>
      <c r="H253" t="s">
        <v>33</v>
      </c>
      <c r="I253">
        <v>50</v>
      </c>
      <c r="K253" s="1"/>
    </row>
    <row r="254" spans="4:11" x14ac:dyDescent="0.35">
      <c r="D254" s="1">
        <v>44875.19263888889</v>
      </c>
      <c r="E254" t="s">
        <v>53</v>
      </c>
      <c r="F254" t="s">
        <v>11</v>
      </c>
      <c r="G254" t="s">
        <v>78</v>
      </c>
      <c r="H254" t="s">
        <v>33</v>
      </c>
      <c r="I254">
        <v>50</v>
      </c>
      <c r="K254" s="1"/>
    </row>
    <row r="255" spans="4:11" x14ac:dyDescent="0.35">
      <c r="D255" s="1">
        <v>44882.211875000001</v>
      </c>
      <c r="E255" t="s">
        <v>53</v>
      </c>
      <c r="F255" t="s">
        <v>11</v>
      </c>
      <c r="G255" t="s">
        <v>78</v>
      </c>
      <c r="H255" t="s">
        <v>33</v>
      </c>
      <c r="I255">
        <v>50</v>
      </c>
      <c r="K255" s="1"/>
    </row>
    <row r="256" spans="4:11" x14ac:dyDescent="0.35">
      <c r="D256" s="1">
        <v>44889.231111111112</v>
      </c>
      <c r="E256" t="s">
        <v>53</v>
      </c>
      <c r="F256" t="s">
        <v>11</v>
      </c>
      <c r="G256" t="s">
        <v>78</v>
      </c>
      <c r="H256" t="s">
        <v>33</v>
      </c>
      <c r="I256">
        <v>50</v>
      </c>
      <c r="K256" s="1"/>
    </row>
    <row r="257" spans="4:11" x14ac:dyDescent="0.35">
      <c r="D257" s="1">
        <v>44896.250347222223</v>
      </c>
      <c r="E257" t="s">
        <v>53</v>
      </c>
      <c r="F257" t="s">
        <v>11</v>
      </c>
      <c r="G257" t="s">
        <v>78</v>
      </c>
      <c r="H257" t="s">
        <v>33</v>
      </c>
      <c r="I257">
        <v>50</v>
      </c>
      <c r="K257" s="1"/>
    </row>
    <row r="258" spans="4:11" x14ac:dyDescent="0.35">
      <c r="D258" s="1">
        <v>44903.269583333335</v>
      </c>
      <c r="E258" t="s">
        <v>53</v>
      </c>
      <c r="F258" t="s">
        <v>11</v>
      </c>
      <c r="G258" t="s">
        <v>78</v>
      </c>
      <c r="H258" t="s">
        <v>33</v>
      </c>
      <c r="I258">
        <v>50</v>
      </c>
      <c r="K258" s="1"/>
    </row>
    <row r="259" spans="4:11" x14ac:dyDescent="0.35">
      <c r="D259" s="1">
        <v>44910.288819444446</v>
      </c>
      <c r="E259" t="s">
        <v>53</v>
      </c>
      <c r="F259" t="s">
        <v>11</v>
      </c>
      <c r="G259" t="s">
        <v>78</v>
      </c>
      <c r="H259" t="s">
        <v>33</v>
      </c>
      <c r="I259">
        <v>50</v>
      </c>
      <c r="K259" s="1"/>
    </row>
    <row r="260" spans="4:11" x14ac:dyDescent="0.35">
      <c r="D260" s="1">
        <v>44917.308055555557</v>
      </c>
      <c r="E260" t="s">
        <v>53</v>
      </c>
      <c r="F260" t="s">
        <v>11</v>
      </c>
      <c r="G260" t="s">
        <v>78</v>
      </c>
      <c r="H260" t="s">
        <v>33</v>
      </c>
      <c r="I260">
        <v>50</v>
      </c>
      <c r="K260" s="1"/>
    </row>
    <row r="261" spans="4:11" x14ac:dyDescent="0.35">
      <c r="D261" s="1">
        <v>44924.327291666668</v>
      </c>
      <c r="E261" t="s">
        <v>53</v>
      </c>
      <c r="F261" t="s">
        <v>11</v>
      </c>
      <c r="G261" t="s">
        <v>78</v>
      </c>
      <c r="H261" t="s">
        <v>33</v>
      </c>
      <c r="I261">
        <v>50</v>
      </c>
      <c r="K261" s="1"/>
    </row>
    <row r="262" spans="4:11" x14ac:dyDescent="0.35">
      <c r="D262" s="1">
        <v>44931.34652777778</v>
      </c>
      <c r="E262" t="s">
        <v>53</v>
      </c>
      <c r="F262" t="s">
        <v>11</v>
      </c>
      <c r="G262" t="s">
        <v>78</v>
      </c>
      <c r="H262" t="s">
        <v>33</v>
      </c>
      <c r="I262">
        <v>50</v>
      </c>
      <c r="K262" s="1"/>
    </row>
    <row r="263" spans="4:11" x14ac:dyDescent="0.35">
      <c r="D263" s="1">
        <v>44938.365763888891</v>
      </c>
      <c r="E263" t="s">
        <v>53</v>
      </c>
      <c r="F263" t="s">
        <v>11</v>
      </c>
      <c r="G263" t="s">
        <v>78</v>
      </c>
      <c r="H263" t="s">
        <v>33</v>
      </c>
      <c r="I263">
        <v>50</v>
      </c>
      <c r="K263" s="1"/>
    </row>
    <row r="264" spans="4:11" x14ac:dyDescent="0.35">
      <c r="D264" s="1">
        <v>44945.385000000002</v>
      </c>
      <c r="E264" t="s">
        <v>53</v>
      </c>
      <c r="F264" t="s">
        <v>11</v>
      </c>
      <c r="G264" t="s">
        <v>78</v>
      </c>
      <c r="H264" t="s">
        <v>33</v>
      </c>
      <c r="I264">
        <v>50</v>
      </c>
      <c r="K264" s="1"/>
    </row>
    <row r="265" spans="4:11" x14ac:dyDescent="0.35">
      <c r="D265" s="1">
        <v>44952.404236111113</v>
      </c>
      <c r="E265" t="s">
        <v>53</v>
      </c>
      <c r="F265" t="s">
        <v>11</v>
      </c>
      <c r="G265" t="s">
        <v>78</v>
      </c>
      <c r="H265" t="s">
        <v>33</v>
      </c>
      <c r="I265">
        <v>50</v>
      </c>
      <c r="K265" s="1"/>
    </row>
    <row r="266" spans="4:11" x14ac:dyDescent="0.35">
      <c r="D266" s="1">
        <v>44959.423472222225</v>
      </c>
      <c r="E266" t="s">
        <v>53</v>
      </c>
      <c r="F266" t="s">
        <v>11</v>
      </c>
      <c r="G266" t="s">
        <v>78</v>
      </c>
      <c r="H266" t="s">
        <v>33</v>
      </c>
      <c r="I266">
        <v>50</v>
      </c>
      <c r="K266" s="1"/>
    </row>
    <row r="267" spans="4:11" x14ac:dyDescent="0.35">
      <c r="D267" s="1">
        <v>44966.442708333336</v>
      </c>
      <c r="E267" t="s">
        <v>53</v>
      </c>
      <c r="F267" t="s">
        <v>11</v>
      </c>
      <c r="G267" t="s">
        <v>78</v>
      </c>
      <c r="H267" t="s">
        <v>33</v>
      </c>
      <c r="I267">
        <v>50</v>
      </c>
      <c r="K267" s="1"/>
    </row>
    <row r="268" spans="4:11" x14ac:dyDescent="0.35">
      <c r="D268" s="1">
        <v>44973.461944444447</v>
      </c>
      <c r="E268" t="s">
        <v>53</v>
      </c>
      <c r="F268" t="s">
        <v>11</v>
      </c>
      <c r="G268" t="s">
        <v>78</v>
      </c>
      <c r="H268" t="s">
        <v>33</v>
      </c>
      <c r="I268">
        <v>50</v>
      </c>
      <c r="K268" s="1"/>
    </row>
    <row r="269" spans="4:11" x14ac:dyDescent="0.35">
      <c r="D269" s="1">
        <v>44980.481180555558</v>
      </c>
      <c r="E269" t="s">
        <v>53</v>
      </c>
      <c r="F269" t="s">
        <v>11</v>
      </c>
      <c r="G269" t="s">
        <v>78</v>
      </c>
      <c r="H269" t="s">
        <v>33</v>
      </c>
      <c r="I269">
        <v>50</v>
      </c>
      <c r="K269" s="1"/>
    </row>
    <row r="270" spans="4:11" x14ac:dyDescent="0.35">
      <c r="D270" s="1">
        <v>44987.500416666669</v>
      </c>
      <c r="E270" t="s">
        <v>53</v>
      </c>
      <c r="F270" t="s">
        <v>11</v>
      </c>
      <c r="G270" t="s">
        <v>78</v>
      </c>
      <c r="H270" t="s">
        <v>33</v>
      </c>
      <c r="I270">
        <v>50</v>
      </c>
      <c r="K270" s="1"/>
    </row>
    <row r="271" spans="4:11" x14ac:dyDescent="0.35">
      <c r="D271" s="1">
        <v>44994.519652777781</v>
      </c>
      <c r="E271" t="s">
        <v>53</v>
      </c>
      <c r="F271" t="s">
        <v>11</v>
      </c>
      <c r="G271" t="s">
        <v>78</v>
      </c>
      <c r="H271" t="s">
        <v>33</v>
      </c>
      <c r="I271">
        <v>50</v>
      </c>
      <c r="K271" s="1"/>
    </row>
    <row r="272" spans="4:11" x14ac:dyDescent="0.35">
      <c r="D272" s="1">
        <v>45001.538888888892</v>
      </c>
      <c r="E272" t="s">
        <v>53</v>
      </c>
      <c r="F272" t="s">
        <v>11</v>
      </c>
      <c r="G272" t="s">
        <v>78</v>
      </c>
      <c r="H272" t="s">
        <v>33</v>
      </c>
      <c r="I272">
        <v>50</v>
      </c>
      <c r="K272" s="1"/>
    </row>
    <row r="273" spans="4:11" x14ac:dyDescent="0.35">
      <c r="D273" s="1">
        <v>45008.558125000003</v>
      </c>
      <c r="E273" t="s">
        <v>53</v>
      </c>
      <c r="F273" t="s">
        <v>11</v>
      </c>
      <c r="G273" t="s">
        <v>78</v>
      </c>
      <c r="H273" t="s">
        <v>33</v>
      </c>
      <c r="I273">
        <v>50</v>
      </c>
      <c r="K273" s="1"/>
    </row>
    <row r="274" spans="4:11" x14ac:dyDescent="0.35">
      <c r="D274" s="1">
        <v>45015.577361111114</v>
      </c>
      <c r="E274" t="s">
        <v>53</v>
      </c>
      <c r="F274" t="s">
        <v>11</v>
      </c>
      <c r="G274" t="s">
        <v>78</v>
      </c>
      <c r="H274" t="s">
        <v>33</v>
      </c>
      <c r="I274">
        <v>50</v>
      </c>
      <c r="K274" s="1"/>
    </row>
    <row r="275" spans="4:11" x14ac:dyDescent="0.35">
      <c r="D275" s="1">
        <v>45022.596597222226</v>
      </c>
      <c r="E275" t="s">
        <v>53</v>
      </c>
      <c r="F275" t="s">
        <v>11</v>
      </c>
      <c r="G275" t="s">
        <v>78</v>
      </c>
      <c r="H275" t="s">
        <v>33</v>
      </c>
      <c r="I275">
        <v>50</v>
      </c>
      <c r="K275" s="1"/>
    </row>
    <row r="276" spans="4:11" x14ac:dyDescent="0.35">
      <c r="D276" s="1">
        <v>45029.615833333337</v>
      </c>
      <c r="E276" t="s">
        <v>53</v>
      </c>
      <c r="F276" t="s">
        <v>11</v>
      </c>
      <c r="G276" t="s">
        <v>78</v>
      </c>
      <c r="H276" t="s">
        <v>33</v>
      </c>
      <c r="I276">
        <v>50</v>
      </c>
      <c r="K276" s="1"/>
    </row>
    <row r="277" spans="4:11" x14ac:dyDescent="0.35">
      <c r="D277" s="1">
        <v>45036.635069444441</v>
      </c>
      <c r="E277" t="s">
        <v>53</v>
      </c>
      <c r="F277" t="s">
        <v>11</v>
      </c>
      <c r="G277" t="s">
        <v>78</v>
      </c>
      <c r="H277" t="s">
        <v>33</v>
      </c>
      <c r="I277">
        <v>50</v>
      </c>
      <c r="K277" s="1"/>
    </row>
    <row r="278" spans="4:11" x14ac:dyDescent="0.35">
      <c r="D278" s="1">
        <v>45043.654305555552</v>
      </c>
      <c r="E278" t="s">
        <v>53</v>
      </c>
      <c r="F278" t="s">
        <v>11</v>
      </c>
      <c r="G278" t="s">
        <v>78</v>
      </c>
      <c r="H278" t="s">
        <v>33</v>
      </c>
      <c r="I278">
        <v>50</v>
      </c>
      <c r="K278" s="1"/>
    </row>
    <row r="279" spans="4:11" x14ac:dyDescent="0.35">
      <c r="D279" s="1">
        <v>45050.673541666663</v>
      </c>
      <c r="E279" t="s">
        <v>53</v>
      </c>
      <c r="F279" t="s">
        <v>11</v>
      </c>
      <c r="G279" t="s">
        <v>78</v>
      </c>
      <c r="H279" t="s">
        <v>33</v>
      </c>
      <c r="I279">
        <v>50</v>
      </c>
      <c r="K279" s="1"/>
    </row>
    <row r="280" spans="4:11" x14ac:dyDescent="0.35">
      <c r="D280" s="1">
        <v>45057.692777777775</v>
      </c>
      <c r="E280" t="s">
        <v>53</v>
      </c>
      <c r="F280" t="s">
        <v>11</v>
      </c>
      <c r="G280" t="s">
        <v>78</v>
      </c>
      <c r="H280" t="s">
        <v>33</v>
      </c>
      <c r="I280">
        <v>50</v>
      </c>
      <c r="K280" s="1"/>
    </row>
    <row r="281" spans="4:11" x14ac:dyDescent="0.35">
      <c r="D281" s="1">
        <v>45064.712013888886</v>
      </c>
      <c r="E281" t="s">
        <v>53</v>
      </c>
      <c r="F281" t="s">
        <v>11</v>
      </c>
      <c r="G281" t="s">
        <v>78</v>
      </c>
      <c r="H281" t="s">
        <v>33</v>
      </c>
      <c r="I281">
        <v>50</v>
      </c>
      <c r="K281" s="1"/>
    </row>
    <row r="282" spans="4:11" x14ac:dyDescent="0.35">
      <c r="D282" s="1">
        <v>45071.731249999997</v>
      </c>
      <c r="E282" t="s">
        <v>53</v>
      </c>
      <c r="F282" t="s">
        <v>11</v>
      </c>
      <c r="G282" t="s">
        <v>78</v>
      </c>
      <c r="H282" t="s">
        <v>33</v>
      </c>
      <c r="I282">
        <v>50</v>
      </c>
      <c r="K282" s="1"/>
    </row>
    <row r="283" spans="4:11" x14ac:dyDescent="0.35">
      <c r="D283" s="1">
        <v>45078.750486111108</v>
      </c>
      <c r="E283" t="s">
        <v>53</v>
      </c>
      <c r="F283" t="s">
        <v>11</v>
      </c>
      <c r="G283" t="s">
        <v>78</v>
      </c>
      <c r="H283" t="s">
        <v>33</v>
      </c>
      <c r="I283">
        <v>50</v>
      </c>
      <c r="K283" s="1"/>
    </row>
    <row r="284" spans="4:11" x14ac:dyDescent="0.35">
      <c r="D284" s="1">
        <v>45085.76972222222</v>
      </c>
      <c r="E284" t="s">
        <v>53</v>
      </c>
      <c r="F284" t="s">
        <v>11</v>
      </c>
      <c r="G284" t="s">
        <v>78</v>
      </c>
      <c r="H284" t="s">
        <v>33</v>
      </c>
      <c r="I284">
        <v>50</v>
      </c>
      <c r="K284" s="1"/>
    </row>
    <row r="285" spans="4:11" x14ac:dyDescent="0.35">
      <c r="D285" s="1">
        <v>45092.788958333331</v>
      </c>
      <c r="E285" t="s">
        <v>53</v>
      </c>
      <c r="F285" t="s">
        <v>11</v>
      </c>
      <c r="G285" t="s">
        <v>78</v>
      </c>
      <c r="H285" t="s">
        <v>33</v>
      </c>
      <c r="I285">
        <v>50</v>
      </c>
      <c r="K285" s="1"/>
    </row>
    <row r="286" spans="4:11" x14ac:dyDescent="0.35">
      <c r="D286" s="1">
        <v>45099.808194444442</v>
      </c>
      <c r="E286" t="s">
        <v>53</v>
      </c>
      <c r="F286" t="s">
        <v>11</v>
      </c>
      <c r="G286" t="s">
        <v>78</v>
      </c>
      <c r="H286" t="s">
        <v>33</v>
      </c>
      <c r="I286">
        <v>50</v>
      </c>
      <c r="K286" s="1"/>
    </row>
    <row r="287" spans="4:11" x14ac:dyDescent="0.35">
      <c r="D287" s="1">
        <v>45106.827430555553</v>
      </c>
      <c r="E287" t="s">
        <v>53</v>
      </c>
      <c r="F287" t="s">
        <v>11</v>
      </c>
      <c r="G287" t="s">
        <v>78</v>
      </c>
      <c r="H287" t="s">
        <v>33</v>
      </c>
      <c r="I287">
        <v>50</v>
      </c>
      <c r="K287" s="1"/>
    </row>
    <row r="288" spans="4:11" x14ac:dyDescent="0.35">
      <c r="D288" s="1">
        <v>45113.846666666665</v>
      </c>
      <c r="E288" t="s">
        <v>53</v>
      </c>
      <c r="F288" t="s">
        <v>11</v>
      </c>
      <c r="G288" t="s">
        <v>78</v>
      </c>
      <c r="H288" t="s">
        <v>33</v>
      </c>
      <c r="I288">
        <v>50</v>
      </c>
      <c r="K288" s="1"/>
    </row>
    <row r="289" spans="4:11" x14ac:dyDescent="0.35">
      <c r="D289" s="1">
        <v>45120.865902777776</v>
      </c>
      <c r="E289" t="s">
        <v>53</v>
      </c>
      <c r="F289" t="s">
        <v>11</v>
      </c>
      <c r="G289" t="s">
        <v>78</v>
      </c>
      <c r="H289" t="s">
        <v>33</v>
      </c>
      <c r="I289">
        <v>50</v>
      </c>
      <c r="K289" s="1"/>
    </row>
    <row r="290" spans="4:11" x14ac:dyDescent="0.35">
      <c r="D290" s="1">
        <v>45127.885138888887</v>
      </c>
      <c r="E290" t="s">
        <v>53</v>
      </c>
      <c r="F290" t="s">
        <v>11</v>
      </c>
      <c r="G290" t="s">
        <v>78</v>
      </c>
      <c r="H290" t="s">
        <v>33</v>
      </c>
      <c r="I290">
        <v>50</v>
      </c>
      <c r="K290" s="1"/>
    </row>
    <row r="291" spans="4:11" x14ac:dyDescent="0.35">
      <c r="D291" s="1">
        <v>45134.904374999998</v>
      </c>
      <c r="E291" t="s">
        <v>53</v>
      </c>
      <c r="F291" t="s">
        <v>11</v>
      </c>
      <c r="G291" t="s">
        <v>78</v>
      </c>
      <c r="H291" t="s">
        <v>33</v>
      </c>
      <c r="I291">
        <v>50</v>
      </c>
      <c r="K291" s="1"/>
    </row>
    <row r="292" spans="4:11" x14ac:dyDescent="0.35">
      <c r="D292" s="1">
        <v>45141.923611111109</v>
      </c>
      <c r="E292" t="s">
        <v>53</v>
      </c>
      <c r="F292" t="s">
        <v>11</v>
      </c>
      <c r="G292" t="s">
        <v>78</v>
      </c>
      <c r="H292" t="s">
        <v>33</v>
      </c>
      <c r="I292">
        <v>50</v>
      </c>
      <c r="K292" s="1"/>
    </row>
    <row r="293" spans="4:11" x14ac:dyDescent="0.35">
      <c r="D293" s="1">
        <v>45148.942847222221</v>
      </c>
      <c r="E293" t="s">
        <v>53</v>
      </c>
      <c r="F293" t="s">
        <v>11</v>
      </c>
      <c r="G293" t="s">
        <v>78</v>
      </c>
      <c r="H293" t="s">
        <v>33</v>
      </c>
      <c r="I293">
        <v>50</v>
      </c>
      <c r="K293" s="1"/>
    </row>
    <row r="294" spans="4:11" x14ac:dyDescent="0.35">
      <c r="D294" s="1">
        <v>45155.962083333332</v>
      </c>
      <c r="E294" t="s">
        <v>53</v>
      </c>
      <c r="F294" t="s">
        <v>11</v>
      </c>
      <c r="G294" t="s">
        <v>78</v>
      </c>
      <c r="H294" t="s">
        <v>33</v>
      </c>
      <c r="I294">
        <v>50</v>
      </c>
      <c r="K294" s="1"/>
    </row>
    <row r="295" spans="4:11" x14ac:dyDescent="0.35">
      <c r="D295" s="1">
        <v>45162.981319444443</v>
      </c>
      <c r="E295" t="s">
        <v>53</v>
      </c>
      <c r="F295" t="s">
        <v>11</v>
      </c>
      <c r="G295" t="s">
        <v>78</v>
      </c>
      <c r="H295" t="s">
        <v>33</v>
      </c>
      <c r="I295">
        <v>50</v>
      </c>
      <c r="K295" s="1"/>
    </row>
    <row r="296" spans="4:11" x14ac:dyDescent="0.35">
      <c r="D296" s="1">
        <v>45170.000555555554</v>
      </c>
      <c r="E296" t="s">
        <v>53</v>
      </c>
      <c r="F296" t="s">
        <v>11</v>
      </c>
      <c r="G296" t="s">
        <v>78</v>
      </c>
      <c r="H296" t="s">
        <v>33</v>
      </c>
      <c r="I296">
        <v>50</v>
      </c>
      <c r="K296" s="1"/>
    </row>
    <row r="297" spans="4:11" x14ac:dyDescent="0.35">
      <c r="D297" s="1">
        <v>45177.019791666666</v>
      </c>
      <c r="E297" t="s">
        <v>53</v>
      </c>
      <c r="F297" t="s">
        <v>11</v>
      </c>
      <c r="G297" t="s">
        <v>78</v>
      </c>
      <c r="H297" t="s">
        <v>33</v>
      </c>
      <c r="I297">
        <v>50</v>
      </c>
      <c r="K297" s="1"/>
    </row>
    <row r="298" spans="4:11" x14ac:dyDescent="0.35">
      <c r="D298" s="1">
        <v>45184.039027777777</v>
      </c>
      <c r="E298" t="s">
        <v>53</v>
      </c>
      <c r="F298" t="s">
        <v>11</v>
      </c>
      <c r="G298" t="s">
        <v>78</v>
      </c>
      <c r="H298" t="s">
        <v>33</v>
      </c>
      <c r="I298">
        <v>50</v>
      </c>
      <c r="K298" s="1"/>
    </row>
    <row r="299" spans="4:11" x14ac:dyDescent="0.35">
      <c r="D299" s="1">
        <v>45191.058263888888</v>
      </c>
      <c r="E299" t="s">
        <v>53</v>
      </c>
      <c r="F299" t="s">
        <v>11</v>
      </c>
      <c r="G299" t="s">
        <v>78</v>
      </c>
      <c r="H299" t="s">
        <v>33</v>
      </c>
      <c r="I299">
        <v>50</v>
      </c>
      <c r="K299" s="1"/>
    </row>
    <row r="300" spans="4:11" x14ac:dyDescent="0.35">
      <c r="D300" s="1">
        <v>45198.077499999999</v>
      </c>
      <c r="E300" t="s">
        <v>53</v>
      </c>
      <c r="F300" t="s">
        <v>11</v>
      </c>
      <c r="G300" t="s">
        <v>78</v>
      </c>
      <c r="H300" t="s">
        <v>33</v>
      </c>
      <c r="I300">
        <v>50</v>
      </c>
      <c r="K300" s="1"/>
    </row>
    <row r="301" spans="4:11" x14ac:dyDescent="0.35">
      <c r="D301" s="1">
        <v>45205.096736111111</v>
      </c>
      <c r="E301" t="s">
        <v>53</v>
      </c>
      <c r="F301" t="s">
        <v>11</v>
      </c>
      <c r="G301" t="s">
        <v>78</v>
      </c>
      <c r="H301" t="s">
        <v>33</v>
      </c>
      <c r="I301">
        <v>50</v>
      </c>
      <c r="K301" s="1"/>
    </row>
    <row r="302" spans="4:11" x14ac:dyDescent="0.35">
      <c r="D302" s="1">
        <v>45212.115972222222</v>
      </c>
      <c r="E302" t="s">
        <v>53</v>
      </c>
      <c r="F302" t="s">
        <v>11</v>
      </c>
      <c r="G302" t="s">
        <v>78</v>
      </c>
      <c r="H302" t="s">
        <v>33</v>
      </c>
      <c r="I302">
        <v>50</v>
      </c>
      <c r="K302" s="1"/>
    </row>
    <row r="303" spans="4:11" x14ac:dyDescent="0.35">
      <c r="D303" s="1">
        <v>45219.135208333333</v>
      </c>
      <c r="E303" t="s">
        <v>53</v>
      </c>
      <c r="F303" t="s">
        <v>11</v>
      </c>
      <c r="G303" t="s">
        <v>78</v>
      </c>
      <c r="H303" t="s">
        <v>33</v>
      </c>
      <c r="I303">
        <v>50</v>
      </c>
      <c r="K303" s="1"/>
    </row>
    <row r="304" spans="4:11" x14ac:dyDescent="0.35">
      <c r="D304" s="1">
        <v>45226.154444444444</v>
      </c>
      <c r="E304" t="s">
        <v>53</v>
      </c>
      <c r="F304" t="s">
        <v>11</v>
      </c>
      <c r="G304" t="s">
        <v>78</v>
      </c>
      <c r="H304" t="s">
        <v>33</v>
      </c>
      <c r="I304">
        <v>50</v>
      </c>
      <c r="K304" s="1"/>
    </row>
    <row r="305" spans="4:11" x14ac:dyDescent="0.35">
      <c r="D305" s="1">
        <v>45233.173680555556</v>
      </c>
      <c r="E305" t="s">
        <v>53</v>
      </c>
      <c r="F305" t="s">
        <v>11</v>
      </c>
      <c r="G305" t="s">
        <v>78</v>
      </c>
      <c r="H305" t="s">
        <v>33</v>
      </c>
      <c r="I305">
        <v>50</v>
      </c>
      <c r="K305" s="1"/>
    </row>
    <row r="306" spans="4:11" x14ac:dyDescent="0.35">
      <c r="D306" s="1">
        <v>45240.192916666667</v>
      </c>
      <c r="E306" t="s">
        <v>53</v>
      </c>
      <c r="F306" t="s">
        <v>11</v>
      </c>
      <c r="G306" t="s">
        <v>78</v>
      </c>
      <c r="H306" t="s">
        <v>33</v>
      </c>
      <c r="I306">
        <v>50</v>
      </c>
      <c r="K306" s="1"/>
    </row>
    <row r="307" spans="4:11" x14ac:dyDescent="0.35">
      <c r="D307" s="1">
        <v>45247.212152777778</v>
      </c>
      <c r="E307" t="s">
        <v>53</v>
      </c>
      <c r="F307" t="s">
        <v>11</v>
      </c>
      <c r="G307" t="s">
        <v>78</v>
      </c>
      <c r="H307" t="s">
        <v>33</v>
      </c>
      <c r="I307">
        <v>50</v>
      </c>
      <c r="K307" s="1"/>
    </row>
    <row r="308" spans="4:11" x14ac:dyDescent="0.35">
      <c r="D308" s="1">
        <v>45254.231388888889</v>
      </c>
      <c r="E308" t="s">
        <v>53</v>
      </c>
      <c r="F308" t="s">
        <v>11</v>
      </c>
      <c r="G308" t="s">
        <v>78</v>
      </c>
      <c r="H308" t="s">
        <v>33</v>
      </c>
      <c r="I308">
        <v>50</v>
      </c>
      <c r="K308" s="1"/>
    </row>
    <row r="309" spans="4:11" x14ac:dyDescent="0.35">
      <c r="D309" s="1">
        <v>45261.250625000001</v>
      </c>
      <c r="E309" t="s">
        <v>53</v>
      </c>
      <c r="F309" t="s">
        <v>11</v>
      </c>
      <c r="G309" t="s">
        <v>78</v>
      </c>
      <c r="H309" t="s">
        <v>33</v>
      </c>
      <c r="I309">
        <v>50</v>
      </c>
      <c r="K309" s="1"/>
    </row>
    <row r="310" spans="4:11" x14ac:dyDescent="0.35">
      <c r="D310" s="1">
        <v>45268.269861111112</v>
      </c>
      <c r="E310" t="s">
        <v>53</v>
      </c>
      <c r="F310" t="s">
        <v>11</v>
      </c>
      <c r="G310" t="s">
        <v>78</v>
      </c>
      <c r="H310" t="s">
        <v>33</v>
      </c>
      <c r="I310">
        <v>50</v>
      </c>
      <c r="K310" s="1"/>
    </row>
    <row r="311" spans="4:11" x14ac:dyDescent="0.35">
      <c r="D311" s="1">
        <v>45275.289097222223</v>
      </c>
      <c r="E311" t="s">
        <v>53</v>
      </c>
      <c r="F311" t="s">
        <v>11</v>
      </c>
      <c r="G311" t="s">
        <v>78</v>
      </c>
      <c r="H311" t="s">
        <v>33</v>
      </c>
      <c r="I311">
        <v>50</v>
      </c>
      <c r="K311" s="1"/>
    </row>
    <row r="312" spans="4:11" x14ac:dyDescent="0.35">
      <c r="D312" s="1">
        <v>45282.308333333334</v>
      </c>
      <c r="E312" t="s">
        <v>53</v>
      </c>
      <c r="F312" t="s">
        <v>11</v>
      </c>
      <c r="G312" t="s">
        <v>78</v>
      </c>
      <c r="H312" t="s">
        <v>33</v>
      </c>
      <c r="I312">
        <v>50</v>
      </c>
      <c r="K312" s="1"/>
    </row>
    <row r="313" spans="4:11" x14ac:dyDescent="0.35">
      <c r="D313" s="1">
        <v>45289.327569444446</v>
      </c>
      <c r="E313" t="s">
        <v>53</v>
      </c>
      <c r="F313" t="s">
        <v>11</v>
      </c>
      <c r="G313" t="s">
        <v>78</v>
      </c>
      <c r="H313" t="s">
        <v>33</v>
      </c>
      <c r="I313">
        <v>50</v>
      </c>
      <c r="K313" s="1"/>
    </row>
    <row r="314" spans="4:11" x14ac:dyDescent="0.35">
      <c r="D314" s="1">
        <v>45296.346805555557</v>
      </c>
      <c r="E314" t="s">
        <v>53</v>
      </c>
      <c r="F314" t="s">
        <v>11</v>
      </c>
      <c r="G314" t="s">
        <v>78</v>
      </c>
      <c r="H314" t="s">
        <v>33</v>
      </c>
      <c r="I314">
        <v>50</v>
      </c>
      <c r="K314" s="1"/>
    </row>
    <row r="315" spans="4:11" x14ac:dyDescent="0.35">
      <c r="D315" s="1">
        <v>45303.366041666668</v>
      </c>
      <c r="E315" t="s">
        <v>53</v>
      </c>
      <c r="F315" t="s">
        <v>11</v>
      </c>
      <c r="G315" t="s">
        <v>78</v>
      </c>
      <c r="H315" t="s">
        <v>33</v>
      </c>
      <c r="I315">
        <v>50</v>
      </c>
      <c r="K315" s="1"/>
    </row>
    <row r="316" spans="4:11" x14ac:dyDescent="0.35">
      <c r="D316" s="1">
        <v>45310.385277777779</v>
      </c>
      <c r="E316" t="s">
        <v>53</v>
      </c>
      <c r="F316" t="s">
        <v>11</v>
      </c>
      <c r="G316" t="s">
        <v>78</v>
      </c>
      <c r="H316" t="s">
        <v>33</v>
      </c>
      <c r="I316">
        <v>50</v>
      </c>
      <c r="K316" s="1"/>
    </row>
    <row r="317" spans="4:11" x14ac:dyDescent="0.35">
      <c r="D317" s="1">
        <v>45317.404513888891</v>
      </c>
      <c r="E317" t="s">
        <v>53</v>
      </c>
      <c r="F317" t="s">
        <v>11</v>
      </c>
      <c r="G317" t="s">
        <v>78</v>
      </c>
      <c r="H317" t="s">
        <v>33</v>
      </c>
      <c r="I317">
        <v>50</v>
      </c>
      <c r="K317" s="1"/>
    </row>
    <row r="318" spans="4:11" x14ac:dyDescent="0.35">
      <c r="D318" s="1">
        <v>45324.423750000002</v>
      </c>
      <c r="E318" t="s">
        <v>53</v>
      </c>
      <c r="F318" t="s">
        <v>11</v>
      </c>
      <c r="G318" t="s">
        <v>78</v>
      </c>
      <c r="H318" t="s">
        <v>33</v>
      </c>
      <c r="I318">
        <v>50</v>
      </c>
      <c r="K318" s="1"/>
    </row>
    <row r="319" spans="4:11" x14ac:dyDescent="0.35">
      <c r="D319" s="1">
        <v>45331.442986111113</v>
      </c>
      <c r="E319" t="s">
        <v>53</v>
      </c>
      <c r="F319" t="s">
        <v>11</v>
      </c>
      <c r="G319" t="s">
        <v>78</v>
      </c>
      <c r="H319" t="s">
        <v>33</v>
      </c>
      <c r="I319">
        <v>50</v>
      </c>
      <c r="K319" s="1"/>
    </row>
    <row r="320" spans="4:11" x14ac:dyDescent="0.35">
      <c r="D320" s="1">
        <v>45338.462222222224</v>
      </c>
      <c r="E320" t="s">
        <v>53</v>
      </c>
      <c r="F320" t="s">
        <v>11</v>
      </c>
      <c r="G320" t="s">
        <v>78</v>
      </c>
      <c r="H320" t="s">
        <v>33</v>
      </c>
      <c r="I320">
        <v>50</v>
      </c>
      <c r="K320" s="1"/>
    </row>
    <row r="321" spans="4:11" x14ac:dyDescent="0.35">
      <c r="D321" s="1">
        <v>45345.481458333335</v>
      </c>
      <c r="E321" t="s">
        <v>53</v>
      </c>
      <c r="F321" t="s">
        <v>11</v>
      </c>
      <c r="G321" t="s">
        <v>78</v>
      </c>
      <c r="H321" t="s">
        <v>33</v>
      </c>
      <c r="I321">
        <v>50</v>
      </c>
      <c r="K321" s="1"/>
    </row>
    <row r="322" spans="4:11" x14ac:dyDescent="0.35">
      <c r="D322" s="1">
        <v>45352.500694444447</v>
      </c>
      <c r="E322" t="s">
        <v>53</v>
      </c>
      <c r="F322" t="s">
        <v>11</v>
      </c>
      <c r="G322" t="s">
        <v>78</v>
      </c>
      <c r="H322" t="s">
        <v>33</v>
      </c>
      <c r="I322">
        <v>50</v>
      </c>
      <c r="K322" s="1"/>
    </row>
    <row r="323" spans="4:11" x14ac:dyDescent="0.35">
      <c r="D323" s="1">
        <v>45359.519930555558</v>
      </c>
      <c r="E323" t="s">
        <v>53</v>
      </c>
      <c r="F323" t="s">
        <v>11</v>
      </c>
      <c r="G323" t="s">
        <v>78</v>
      </c>
      <c r="H323" t="s">
        <v>33</v>
      </c>
      <c r="I323">
        <v>50</v>
      </c>
      <c r="K323" s="1"/>
    </row>
    <row r="324" spans="4:11" x14ac:dyDescent="0.35">
      <c r="D324" s="1">
        <v>45366.539166666669</v>
      </c>
      <c r="E324" t="s">
        <v>53</v>
      </c>
      <c r="F324" t="s">
        <v>11</v>
      </c>
      <c r="G324" t="s">
        <v>78</v>
      </c>
      <c r="H324" t="s">
        <v>33</v>
      </c>
      <c r="I324">
        <v>50</v>
      </c>
      <c r="K324" s="1"/>
    </row>
    <row r="325" spans="4:11" x14ac:dyDescent="0.35">
      <c r="D325" s="1">
        <v>45373.55840277778</v>
      </c>
      <c r="E325" t="s">
        <v>53</v>
      </c>
      <c r="F325" t="s">
        <v>11</v>
      </c>
      <c r="G325" t="s">
        <v>78</v>
      </c>
      <c r="H325" t="s">
        <v>33</v>
      </c>
      <c r="I325">
        <v>50</v>
      </c>
      <c r="K325" s="1"/>
    </row>
    <row r="326" spans="4:11" x14ac:dyDescent="0.35">
      <c r="D326" s="1">
        <v>45380.577638888892</v>
      </c>
      <c r="E326" t="s">
        <v>53</v>
      </c>
      <c r="F326" t="s">
        <v>11</v>
      </c>
      <c r="G326" t="s">
        <v>78</v>
      </c>
      <c r="H326" t="s">
        <v>33</v>
      </c>
      <c r="I326">
        <v>50</v>
      </c>
      <c r="K326" s="1"/>
    </row>
    <row r="327" spans="4:11" x14ac:dyDescent="0.35">
      <c r="D327" s="1">
        <v>45387.596875000003</v>
      </c>
      <c r="E327" t="s">
        <v>53</v>
      </c>
      <c r="F327" t="s">
        <v>11</v>
      </c>
      <c r="G327" t="s">
        <v>78</v>
      </c>
      <c r="H327" t="s">
        <v>33</v>
      </c>
      <c r="I327">
        <v>50</v>
      </c>
      <c r="K327" s="1"/>
    </row>
    <row r="328" spans="4:11" x14ac:dyDescent="0.35">
      <c r="D328" s="1">
        <v>45394.616111111114</v>
      </c>
      <c r="E328" t="s">
        <v>53</v>
      </c>
      <c r="F328" t="s">
        <v>11</v>
      </c>
      <c r="G328" t="s">
        <v>78</v>
      </c>
      <c r="H328" t="s">
        <v>33</v>
      </c>
      <c r="I328">
        <v>50</v>
      </c>
      <c r="K328" s="1"/>
    </row>
    <row r="329" spans="4:11" x14ac:dyDescent="0.35">
      <c r="D329" s="1">
        <v>45401.635347222225</v>
      </c>
      <c r="E329" t="s">
        <v>53</v>
      </c>
      <c r="F329" t="s">
        <v>11</v>
      </c>
      <c r="G329" t="s">
        <v>78</v>
      </c>
      <c r="H329" t="s">
        <v>33</v>
      </c>
      <c r="I329">
        <v>50</v>
      </c>
      <c r="K329" s="1"/>
    </row>
    <row r="330" spans="4:11" x14ac:dyDescent="0.35">
      <c r="D330" s="1">
        <v>45408.654583333337</v>
      </c>
      <c r="E330" t="s">
        <v>53</v>
      </c>
      <c r="F330" t="s">
        <v>11</v>
      </c>
      <c r="G330" t="s">
        <v>78</v>
      </c>
      <c r="H330" t="s">
        <v>33</v>
      </c>
      <c r="I330">
        <v>50</v>
      </c>
      <c r="K330" s="1"/>
    </row>
    <row r="331" spans="4:11" x14ac:dyDescent="0.35">
      <c r="D331" s="1">
        <v>45415.673819444448</v>
      </c>
      <c r="E331" t="s">
        <v>53</v>
      </c>
      <c r="F331" t="s">
        <v>11</v>
      </c>
      <c r="G331" t="s">
        <v>78</v>
      </c>
      <c r="H331" t="s">
        <v>33</v>
      </c>
      <c r="I331">
        <v>50</v>
      </c>
      <c r="K331" s="1"/>
    </row>
    <row r="332" spans="4:11" x14ac:dyDescent="0.35">
      <c r="D332" s="1">
        <v>45422.693055555559</v>
      </c>
      <c r="E332" t="s">
        <v>53</v>
      </c>
      <c r="F332" t="s">
        <v>11</v>
      </c>
      <c r="G332" t="s">
        <v>78</v>
      </c>
      <c r="H332" t="s">
        <v>33</v>
      </c>
      <c r="I332">
        <v>50</v>
      </c>
      <c r="K332" s="1"/>
    </row>
    <row r="333" spans="4:11" x14ac:dyDescent="0.35">
      <c r="D333" s="1">
        <v>45429.712291666663</v>
      </c>
      <c r="E333" t="s">
        <v>53</v>
      </c>
      <c r="F333" t="s">
        <v>11</v>
      </c>
      <c r="G333" t="s">
        <v>78</v>
      </c>
      <c r="H333" t="s">
        <v>33</v>
      </c>
      <c r="I333">
        <v>50</v>
      </c>
      <c r="K333" s="1"/>
    </row>
    <row r="334" spans="4:11" x14ac:dyDescent="0.35">
      <c r="D334" s="1">
        <v>45436.731527777774</v>
      </c>
      <c r="E334" t="s">
        <v>53</v>
      </c>
      <c r="F334" t="s">
        <v>11</v>
      </c>
      <c r="G334" t="s">
        <v>78</v>
      </c>
      <c r="H334" t="s">
        <v>33</v>
      </c>
      <c r="I334">
        <v>50</v>
      </c>
      <c r="K334" s="1"/>
    </row>
    <row r="335" spans="4:11" x14ac:dyDescent="0.35">
      <c r="D335" s="1">
        <v>45443.750763888886</v>
      </c>
      <c r="E335" t="s">
        <v>53</v>
      </c>
      <c r="F335" t="s">
        <v>11</v>
      </c>
      <c r="G335" t="s">
        <v>78</v>
      </c>
      <c r="H335" t="s">
        <v>33</v>
      </c>
      <c r="I335">
        <v>50</v>
      </c>
      <c r="K335" s="1"/>
    </row>
    <row r="336" spans="4:11" x14ac:dyDescent="0.35">
      <c r="D336" s="1">
        <v>45450.77</v>
      </c>
      <c r="E336" t="s">
        <v>53</v>
      </c>
      <c r="F336" t="s">
        <v>11</v>
      </c>
      <c r="G336" t="s">
        <v>78</v>
      </c>
      <c r="H336" t="s">
        <v>33</v>
      </c>
      <c r="I336">
        <v>50</v>
      </c>
      <c r="K336" s="1"/>
    </row>
    <row r="337" spans="4:11" x14ac:dyDescent="0.35">
      <c r="D337" s="1">
        <v>45457.789236111108</v>
      </c>
      <c r="E337" t="s">
        <v>53</v>
      </c>
      <c r="F337" t="s">
        <v>11</v>
      </c>
      <c r="G337" t="s">
        <v>78</v>
      </c>
      <c r="H337" t="s">
        <v>33</v>
      </c>
      <c r="I337">
        <v>50</v>
      </c>
      <c r="K337" s="1"/>
    </row>
    <row r="338" spans="4:11" x14ac:dyDescent="0.35">
      <c r="D338" s="1">
        <v>45464.808472222219</v>
      </c>
      <c r="E338" t="s">
        <v>53</v>
      </c>
      <c r="F338" t="s">
        <v>11</v>
      </c>
      <c r="G338" t="s">
        <v>78</v>
      </c>
      <c r="H338" t="s">
        <v>33</v>
      </c>
      <c r="I338">
        <v>50</v>
      </c>
      <c r="K338" s="1"/>
    </row>
    <row r="339" spans="4:11" x14ac:dyDescent="0.35">
      <c r="D339" s="1">
        <v>45471.827708333331</v>
      </c>
      <c r="E339" t="s">
        <v>53</v>
      </c>
      <c r="F339" t="s">
        <v>11</v>
      </c>
      <c r="G339" t="s">
        <v>78</v>
      </c>
      <c r="H339" t="s">
        <v>33</v>
      </c>
      <c r="I339">
        <v>50</v>
      </c>
      <c r="K339" s="1"/>
    </row>
    <row r="340" spans="4:11" x14ac:dyDescent="0.35">
      <c r="D340" s="1">
        <v>45478.846944444442</v>
      </c>
      <c r="E340" t="s">
        <v>53</v>
      </c>
      <c r="F340" t="s">
        <v>11</v>
      </c>
      <c r="G340" t="s">
        <v>78</v>
      </c>
      <c r="H340" t="s">
        <v>33</v>
      </c>
      <c r="I340">
        <v>50</v>
      </c>
      <c r="K340" s="1"/>
    </row>
    <row r="341" spans="4:11" x14ac:dyDescent="0.35">
      <c r="D341" s="1">
        <v>45485.866180555553</v>
      </c>
      <c r="E341" t="s">
        <v>53</v>
      </c>
      <c r="F341" t="s">
        <v>11</v>
      </c>
      <c r="G341" t="s">
        <v>78</v>
      </c>
      <c r="H341" t="s">
        <v>33</v>
      </c>
      <c r="I341">
        <v>50</v>
      </c>
      <c r="K341" s="1"/>
    </row>
    <row r="342" spans="4:11" x14ac:dyDescent="0.35">
      <c r="D342" s="1">
        <v>45492.885416666664</v>
      </c>
      <c r="E342" t="s">
        <v>53</v>
      </c>
      <c r="F342" t="s">
        <v>11</v>
      </c>
      <c r="G342" t="s">
        <v>78</v>
      </c>
      <c r="H342" t="s">
        <v>33</v>
      </c>
      <c r="I342">
        <v>50</v>
      </c>
      <c r="K342" s="1"/>
    </row>
    <row r="343" spans="4:11" x14ac:dyDescent="0.35">
      <c r="D343" s="1">
        <v>45499.904652777775</v>
      </c>
      <c r="E343" t="s">
        <v>53</v>
      </c>
      <c r="F343" t="s">
        <v>11</v>
      </c>
      <c r="G343" t="s">
        <v>78</v>
      </c>
      <c r="H343" t="s">
        <v>33</v>
      </c>
      <c r="I343">
        <v>50</v>
      </c>
      <c r="K343" s="1"/>
    </row>
    <row r="344" spans="4:11" x14ac:dyDescent="0.35">
      <c r="D344" s="1">
        <v>45506.923888888887</v>
      </c>
      <c r="E344" t="s">
        <v>53</v>
      </c>
      <c r="F344" t="s">
        <v>11</v>
      </c>
      <c r="G344" t="s">
        <v>78</v>
      </c>
      <c r="H344" t="s">
        <v>33</v>
      </c>
      <c r="I344">
        <v>50</v>
      </c>
      <c r="K344" s="1"/>
    </row>
    <row r="345" spans="4:11" x14ac:dyDescent="0.35">
      <c r="D345" s="1">
        <v>45513.943124999998</v>
      </c>
      <c r="E345" t="s">
        <v>53</v>
      </c>
      <c r="F345" t="s">
        <v>11</v>
      </c>
      <c r="G345" t="s">
        <v>78</v>
      </c>
      <c r="H345" t="s">
        <v>33</v>
      </c>
      <c r="I345">
        <v>50</v>
      </c>
      <c r="K345" s="1"/>
    </row>
    <row r="346" spans="4:11" x14ac:dyDescent="0.35">
      <c r="D346" s="1">
        <v>45520.962361111109</v>
      </c>
      <c r="E346" t="s">
        <v>53</v>
      </c>
      <c r="F346" t="s">
        <v>11</v>
      </c>
      <c r="G346" t="s">
        <v>78</v>
      </c>
      <c r="H346" t="s">
        <v>33</v>
      </c>
      <c r="I346">
        <v>50</v>
      </c>
      <c r="K346" s="1"/>
    </row>
    <row r="347" spans="4:11" x14ac:dyDescent="0.35">
      <c r="D347" s="1">
        <v>45527.98159722222</v>
      </c>
      <c r="E347" t="s">
        <v>53</v>
      </c>
      <c r="F347" t="s">
        <v>11</v>
      </c>
      <c r="G347" t="s">
        <v>78</v>
      </c>
      <c r="H347" t="s">
        <v>33</v>
      </c>
      <c r="I347">
        <v>50</v>
      </c>
      <c r="K347" s="1"/>
    </row>
    <row r="348" spans="4:11" x14ac:dyDescent="0.35">
      <c r="D348" s="1">
        <v>45535.000833333332</v>
      </c>
      <c r="E348" t="s">
        <v>53</v>
      </c>
      <c r="F348" t="s">
        <v>11</v>
      </c>
      <c r="G348" t="s">
        <v>78</v>
      </c>
      <c r="H348" t="s">
        <v>33</v>
      </c>
      <c r="I348">
        <v>50</v>
      </c>
      <c r="K348" s="1"/>
    </row>
    <row r="349" spans="4:11" x14ac:dyDescent="0.35">
      <c r="D349" s="1">
        <v>45542.020069444443</v>
      </c>
      <c r="E349" t="s">
        <v>53</v>
      </c>
      <c r="F349" t="s">
        <v>11</v>
      </c>
      <c r="G349" t="s">
        <v>78</v>
      </c>
      <c r="H349" t="s">
        <v>33</v>
      </c>
      <c r="I349">
        <v>50</v>
      </c>
      <c r="K349" s="1"/>
    </row>
    <row r="350" spans="4:11" x14ac:dyDescent="0.35">
      <c r="D350" s="1">
        <v>45549.039305555554</v>
      </c>
      <c r="E350" t="s">
        <v>53</v>
      </c>
      <c r="F350" t="s">
        <v>11</v>
      </c>
      <c r="G350" t="s">
        <v>78</v>
      </c>
      <c r="H350" t="s">
        <v>33</v>
      </c>
      <c r="I350">
        <v>50</v>
      </c>
      <c r="K350" s="1"/>
    </row>
    <row r="351" spans="4:11" x14ac:dyDescent="0.35">
      <c r="D351" s="1">
        <v>45556.058541666665</v>
      </c>
      <c r="E351" t="s">
        <v>53</v>
      </c>
      <c r="F351" t="s">
        <v>11</v>
      </c>
      <c r="G351" t="s">
        <v>78</v>
      </c>
      <c r="H351" t="s">
        <v>33</v>
      </c>
      <c r="I351">
        <v>50</v>
      </c>
      <c r="K351" s="1"/>
    </row>
    <row r="352" spans="4:11" x14ac:dyDescent="0.35">
      <c r="D352" s="1">
        <v>45563.077777777777</v>
      </c>
      <c r="E352" t="s">
        <v>53</v>
      </c>
      <c r="F352" t="s">
        <v>11</v>
      </c>
      <c r="G352" t="s">
        <v>78</v>
      </c>
      <c r="H352" t="s">
        <v>33</v>
      </c>
      <c r="I352">
        <v>50</v>
      </c>
      <c r="K352" s="1"/>
    </row>
    <row r="353" spans="4:11" x14ac:dyDescent="0.35">
      <c r="D353" s="1">
        <v>45570.097013888888</v>
      </c>
      <c r="E353" t="s">
        <v>53</v>
      </c>
      <c r="F353" t="s">
        <v>11</v>
      </c>
      <c r="G353" t="s">
        <v>78</v>
      </c>
      <c r="H353" t="s">
        <v>33</v>
      </c>
      <c r="I353">
        <v>50</v>
      </c>
      <c r="K353" s="1"/>
    </row>
    <row r="354" spans="4:11" x14ac:dyDescent="0.35">
      <c r="D354" s="1">
        <v>45577.116249999999</v>
      </c>
      <c r="E354" t="s">
        <v>53</v>
      </c>
      <c r="F354" t="s">
        <v>11</v>
      </c>
      <c r="G354" t="s">
        <v>78</v>
      </c>
      <c r="H354" t="s">
        <v>33</v>
      </c>
      <c r="I354">
        <v>50</v>
      </c>
      <c r="K354" s="1"/>
    </row>
    <row r="355" spans="4:11" x14ac:dyDescent="0.35">
      <c r="D355" s="1">
        <v>45584.13548611111</v>
      </c>
      <c r="E355" t="s">
        <v>53</v>
      </c>
      <c r="F355" t="s">
        <v>11</v>
      </c>
      <c r="G355" t="s">
        <v>78</v>
      </c>
      <c r="H355" t="s">
        <v>33</v>
      </c>
      <c r="I355">
        <v>50</v>
      </c>
      <c r="K355" s="1"/>
    </row>
    <row r="356" spans="4:11" x14ac:dyDescent="0.35">
      <c r="D356" s="1">
        <v>45591.154722222222</v>
      </c>
      <c r="E356" t="s">
        <v>53</v>
      </c>
      <c r="F356" t="s">
        <v>11</v>
      </c>
      <c r="G356" t="s">
        <v>78</v>
      </c>
      <c r="H356" t="s">
        <v>33</v>
      </c>
      <c r="I356">
        <v>50</v>
      </c>
      <c r="K356" s="1"/>
    </row>
    <row r="357" spans="4:11" x14ac:dyDescent="0.35">
      <c r="D357" s="1">
        <v>45598.173958333333</v>
      </c>
      <c r="E357" t="s">
        <v>53</v>
      </c>
      <c r="F357" t="s">
        <v>11</v>
      </c>
      <c r="G357" t="s">
        <v>78</v>
      </c>
      <c r="H357" t="s">
        <v>33</v>
      </c>
      <c r="I357">
        <v>50</v>
      </c>
      <c r="K357" s="1"/>
    </row>
    <row r="358" spans="4:11" x14ac:dyDescent="0.35">
      <c r="D358" s="1">
        <v>45605.193194444444</v>
      </c>
      <c r="E358" t="s">
        <v>53</v>
      </c>
      <c r="F358" t="s">
        <v>11</v>
      </c>
      <c r="G358" t="s">
        <v>78</v>
      </c>
      <c r="H358" t="s">
        <v>33</v>
      </c>
      <c r="I358">
        <v>50</v>
      </c>
      <c r="K358" s="1"/>
    </row>
    <row r="359" spans="4:11" x14ac:dyDescent="0.35">
      <c r="D359" s="1">
        <v>45612.212430555555</v>
      </c>
      <c r="E359" t="s">
        <v>53</v>
      </c>
      <c r="F359" t="s">
        <v>11</v>
      </c>
      <c r="G359" t="s">
        <v>78</v>
      </c>
      <c r="H359" t="s">
        <v>33</v>
      </c>
      <c r="I359">
        <v>50</v>
      </c>
      <c r="K359" s="1"/>
    </row>
    <row r="360" spans="4:11" x14ac:dyDescent="0.35">
      <c r="D360" s="1">
        <v>45619.231666666667</v>
      </c>
      <c r="E360" t="s">
        <v>53</v>
      </c>
      <c r="F360" t="s">
        <v>11</v>
      </c>
      <c r="G360" t="s">
        <v>78</v>
      </c>
      <c r="H360" t="s">
        <v>33</v>
      </c>
      <c r="I360">
        <v>50</v>
      </c>
      <c r="K360" s="1"/>
    </row>
    <row r="361" spans="4:11" x14ac:dyDescent="0.35">
      <c r="D361" s="1">
        <v>45626.250902777778</v>
      </c>
      <c r="E361" t="s">
        <v>53</v>
      </c>
      <c r="F361" t="s">
        <v>11</v>
      </c>
      <c r="G361" t="s">
        <v>78</v>
      </c>
      <c r="H361" t="s">
        <v>33</v>
      </c>
      <c r="I361">
        <v>50</v>
      </c>
      <c r="K361" s="1"/>
    </row>
    <row r="362" spans="4:11" x14ac:dyDescent="0.35">
      <c r="D362" s="1">
        <v>45633.270138888889</v>
      </c>
      <c r="E362" t="s">
        <v>53</v>
      </c>
      <c r="F362" t="s">
        <v>11</v>
      </c>
      <c r="G362" t="s">
        <v>78</v>
      </c>
      <c r="H362" t="s">
        <v>33</v>
      </c>
      <c r="I362">
        <v>50</v>
      </c>
      <c r="K362" s="1"/>
    </row>
    <row r="363" spans="4:11" x14ac:dyDescent="0.35">
      <c r="D363" s="1">
        <v>45640.289375</v>
      </c>
      <c r="E363" t="s">
        <v>53</v>
      </c>
      <c r="F363" t="s">
        <v>11</v>
      </c>
      <c r="G363" t="s">
        <v>78</v>
      </c>
      <c r="H363" t="s">
        <v>33</v>
      </c>
      <c r="I363">
        <v>50</v>
      </c>
      <c r="K363" s="1"/>
    </row>
    <row r="364" spans="4:11" x14ac:dyDescent="0.35">
      <c r="D364" s="1">
        <v>45647.308611111112</v>
      </c>
      <c r="E364" t="s">
        <v>53</v>
      </c>
      <c r="F364" t="s">
        <v>11</v>
      </c>
      <c r="G364" t="s">
        <v>78</v>
      </c>
      <c r="H364" t="s">
        <v>33</v>
      </c>
      <c r="I364">
        <v>50</v>
      </c>
      <c r="K364" s="1"/>
    </row>
    <row r="365" spans="4:11" x14ac:dyDescent="0.35">
      <c r="D365" s="1">
        <v>45654.327847222223</v>
      </c>
      <c r="E365" t="s">
        <v>53</v>
      </c>
      <c r="F365" t="s">
        <v>11</v>
      </c>
      <c r="G365" t="s">
        <v>78</v>
      </c>
      <c r="H365" t="s">
        <v>33</v>
      </c>
      <c r="I365">
        <v>50</v>
      </c>
      <c r="K365" s="1"/>
    </row>
    <row r="366" spans="4:11" x14ac:dyDescent="0.35">
      <c r="D366" s="1">
        <v>44561.666666666664</v>
      </c>
      <c r="E366" t="s">
        <v>54</v>
      </c>
      <c r="F366" t="s">
        <v>24</v>
      </c>
      <c r="G366" t="s">
        <v>79</v>
      </c>
      <c r="H366" t="s">
        <v>34</v>
      </c>
      <c r="I366">
        <v>1000</v>
      </c>
      <c r="K366" s="1"/>
    </row>
    <row r="367" spans="4:11" x14ac:dyDescent="0.35">
      <c r="D367" s="1">
        <v>44592.083333333336</v>
      </c>
      <c r="E367" t="s">
        <v>54</v>
      </c>
      <c r="F367" t="s">
        <v>24</v>
      </c>
      <c r="G367" t="s">
        <v>79</v>
      </c>
      <c r="H367" t="s">
        <v>34</v>
      </c>
      <c r="I367">
        <v>1000</v>
      </c>
      <c r="K367" s="1"/>
    </row>
    <row r="368" spans="4:11" x14ac:dyDescent="0.35">
      <c r="D368" s="1">
        <v>44622.5</v>
      </c>
      <c r="E368" t="s">
        <v>54</v>
      </c>
      <c r="F368" t="s">
        <v>24</v>
      </c>
      <c r="G368" t="s">
        <v>79</v>
      </c>
      <c r="H368" t="s">
        <v>34</v>
      </c>
      <c r="I368">
        <v>1000</v>
      </c>
      <c r="K368" s="1"/>
    </row>
    <row r="369" spans="4:11" x14ac:dyDescent="0.35">
      <c r="D369" s="1">
        <v>44652.916666666664</v>
      </c>
      <c r="E369" t="s">
        <v>54</v>
      </c>
      <c r="F369" t="s">
        <v>24</v>
      </c>
      <c r="G369" t="s">
        <v>79</v>
      </c>
      <c r="H369" t="s">
        <v>34</v>
      </c>
      <c r="I369">
        <v>1000</v>
      </c>
      <c r="K369" s="1"/>
    </row>
    <row r="370" spans="4:11" x14ac:dyDescent="0.35">
      <c r="D370" s="1">
        <v>44683.333333333336</v>
      </c>
      <c r="E370" t="s">
        <v>54</v>
      </c>
      <c r="F370" t="s">
        <v>24</v>
      </c>
      <c r="G370" t="s">
        <v>79</v>
      </c>
      <c r="H370" t="s">
        <v>34</v>
      </c>
      <c r="I370">
        <v>1000</v>
      </c>
      <c r="K370" s="1"/>
    </row>
    <row r="371" spans="4:11" x14ac:dyDescent="0.35">
      <c r="D371" s="1">
        <v>44713.75</v>
      </c>
      <c r="E371" t="s">
        <v>54</v>
      </c>
      <c r="F371" t="s">
        <v>24</v>
      </c>
      <c r="G371" t="s">
        <v>79</v>
      </c>
      <c r="H371" t="s">
        <v>34</v>
      </c>
      <c r="I371">
        <v>1000</v>
      </c>
      <c r="K371" s="1"/>
    </row>
    <row r="372" spans="4:11" x14ac:dyDescent="0.35">
      <c r="D372" s="1">
        <v>44744.166666666664</v>
      </c>
      <c r="E372" t="s">
        <v>54</v>
      </c>
      <c r="F372" t="s">
        <v>24</v>
      </c>
      <c r="G372" t="s">
        <v>79</v>
      </c>
      <c r="H372" t="s">
        <v>34</v>
      </c>
      <c r="I372">
        <v>1000</v>
      </c>
      <c r="K372" s="1"/>
    </row>
    <row r="373" spans="4:11" x14ac:dyDescent="0.35">
      <c r="D373" s="1">
        <v>44774.583333333336</v>
      </c>
      <c r="E373" t="s">
        <v>54</v>
      </c>
      <c r="F373" t="s">
        <v>24</v>
      </c>
      <c r="G373" t="s">
        <v>79</v>
      </c>
      <c r="H373" t="s">
        <v>34</v>
      </c>
      <c r="I373">
        <v>1000</v>
      </c>
      <c r="K373" s="1"/>
    </row>
    <row r="374" spans="4:11" x14ac:dyDescent="0.35">
      <c r="D374" s="1">
        <v>44805</v>
      </c>
      <c r="E374" t="s">
        <v>54</v>
      </c>
      <c r="F374" t="s">
        <v>24</v>
      </c>
      <c r="G374" t="s">
        <v>79</v>
      </c>
      <c r="H374" t="s">
        <v>34</v>
      </c>
      <c r="I374">
        <v>1000</v>
      </c>
      <c r="K374" s="1"/>
    </row>
    <row r="375" spans="4:11" x14ac:dyDescent="0.35">
      <c r="D375" s="1">
        <v>44835.416666666664</v>
      </c>
      <c r="E375" t="s">
        <v>54</v>
      </c>
      <c r="F375" t="s">
        <v>24</v>
      </c>
      <c r="G375" t="s">
        <v>79</v>
      </c>
      <c r="H375" t="s">
        <v>34</v>
      </c>
      <c r="I375">
        <v>1000</v>
      </c>
      <c r="K375" s="1"/>
    </row>
    <row r="376" spans="4:11" x14ac:dyDescent="0.35">
      <c r="D376" s="1">
        <v>44865.833333333336</v>
      </c>
      <c r="E376" t="s">
        <v>54</v>
      </c>
      <c r="F376" t="s">
        <v>24</v>
      </c>
      <c r="G376" t="s">
        <v>79</v>
      </c>
      <c r="H376" t="s">
        <v>34</v>
      </c>
      <c r="I376">
        <v>1000</v>
      </c>
      <c r="K376" s="1"/>
    </row>
    <row r="377" spans="4:11" x14ac:dyDescent="0.35">
      <c r="D377" s="1">
        <v>44896.25</v>
      </c>
      <c r="E377" t="s">
        <v>54</v>
      </c>
      <c r="F377" t="s">
        <v>24</v>
      </c>
      <c r="G377" t="s">
        <v>79</v>
      </c>
      <c r="H377" t="s">
        <v>34</v>
      </c>
      <c r="I377">
        <v>1000</v>
      </c>
      <c r="K377" s="1"/>
    </row>
    <row r="378" spans="4:11" x14ac:dyDescent="0.35">
      <c r="D378" s="1">
        <v>44926.666666666664</v>
      </c>
      <c r="E378" t="s">
        <v>54</v>
      </c>
      <c r="F378" t="s">
        <v>24</v>
      </c>
      <c r="G378" t="s">
        <v>79</v>
      </c>
      <c r="H378" t="s">
        <v>34</v>
      </c>
      <c r="I378">
        <v>1000</v>
      </c>
      <c r="K378" s="1"/>
    </row>
    <row r="379" spans="4:11" x14ac:dyDescent="0.35">
      <c r="D379" s="1">
        <v>44957.083333333336</v>
      </c>
      <c r="E379" t="s">
        <v>54</v>
      </c>
      <c r="F379" t="s">
        <v>24</v>
      </c>
      <c r="G379" t="s">
        <v>79</v>
      </c>
      <c r="H379" t="s">
        <v>34</v>
      </c>
      <c r="I379">
        <v>1000</v>
      </c>
      <c r="K379" s="1"/>
    </row>
    <row r="380" spans="4:11" x14ac:dyDescent="0.35">
      <c r="D380" s="1">
        <v>44987.5</v>
      </c>
      <c r="E380" t="s">
        <v>54</v>
      </c>
      <c r="F380" t="s">
        <v>24</v>
      </c>
      <c r="G380" t="s">
        <v>79</v>
      </c>
      <c r="H380" t="s">
        <v>34</v>
      </c>
      <c r="I380">
        <v>1000</v>
      </c>
      <c r="K380" s="1"/>
    </row>
    <row r="381" spans="4:11" x14ac:dyDescent="0.35">
      <c r="D381" s="1">
        <v>45017.916666666664</v>
      </c>
      <c r="E381" t="s">
        <v>54</v>
      </c>
      <c r="F381" t="s">
        <v>24</v>
      </c>
      <c r="G381" t="s">
        <v>79</v>
      </c>
      <c r="H381" t="s">
        <v>34</v>
      </c>
      <c r="I381">
        <v>1000</v>
      </c>
      <c r="K381" s="1"/>
    </row>
    <row r="382" spans="4:11" x14ac:dyDescent="0.35">
      <c r="D382" s="1">
        <v>45048.333333333336</v>
      </c>
      <c r="E382" t="s">
        <v>54</v>
      </c>
      <c r="F382" t="s">
        <v>24</v>
      </c>
      <c r="G382" t="s">
        <v>79</v>
      </c>
      <c r="H382" t="s">
        <v>34</v>
      </c>
      <c r="I382">
        <v>1000</v>
      </c>
      <c r="K382" s="1"/>
    </row>
    <row r="383" spans="4:11" x14ac:dyDescent="0.35">
      <c r="D383" s="1">
        <v>45078.75</v>
      </c>
      <c r="E383" t="s">
        <v>54</v>
      </c>
      <c r="F383" t="s">
        <v>24</v>
      </c>
      <c r="G383" t="s">
        <v>79</v>
      </c>
      <c r="H383" t="s">
        <v>34</v>
      </c>
      <c r="I383">
        <v>1000</v>
      </c>
      <c r="K383" s="1"/>
    </row>
    <row r="384" spans="4:11" x14ac:dyDescent="0.35">
      <c r="D384" s="1">
        <v>45109.166666666664</v>
      </c>
      <c r="E384" t="s">
        <v>54</v>
      </c>
      <c r="F384" t="s">
        <v>24</v>
      </c>
      <c r="G384" t="s">
        <v>79</v>
      </c>
      <c r="H384" t="s">
        <v>34</v>
      </c>
      <c r="I384">
        <v>1000</v>
      </c>
      <c r="K384" s="1"/>
    </row>
    <row r="385" spans="4:11" x14ac:dyDescent="0.35">
      <c r="D385" s="1">
        <v>45139.583333333336</v>
      </c>
      <c r="E385" t="s">
        <v>54</v>
      </c>
      <c r="F385" t="s">
        <v>24</v>
      </c>
      <c r="G385" t="s">
        <v>79</v>
      </c>
      <c r="H385" t="s">
        <v>34</v>
      </c>
      <c r="I385">
        <v>1000</v>
      </c>
      <c r="K385" s="1"/>
    </row>
    <row r="386" spans="4:11" x14ac:dyDescent="0.35">
      <c r="D386" s="1">
        <v>45170</v>
      </c>
      <c r="E386" t="s">
        <v>54</v>
      </c>
      <c r="F386" t="s">
        <v>24</v>
      </c>
      <c r="G386" t="s">
        <v>79</v>
      </c>
      <c r="H386" t="s">
        <v>34</v>
      </c>
      <c r="I386">
        <v>1000</v>
      </c>
      <c r="K386" s="1"/>
    </row>
    <row r="387" spans="4:11" x14ac:dyDescent="0.35">
      <c r="D387" s="1">
        <v>45200.416666666664</v>
      </c>
      <c r="E387" t="s">
        <v>54</v>
      </c>
      <c r="F387" t="s">
        <v>24</v>
      </c>
      <c r="G387" t="s">
        <v>79</v>
      </c>
      <c r="H387" t="s">
        <v>34</v>
      </c>
      <c r="I387">
        <v>1000</v>
      </c>
      <c r="K387" s="1"/>
    </row>
    <row r="388" spans="4:11" x14ac:dyDescent="0.35">
      <c r="D388" s="1">
        <v>45230.833333333336</v>
      </c>
      <c r="E388" t="s">
        <v>54</v>
      </c>
      <c r="F388" t="s">
        <v>24</v>
      </c>
      <c r="G388" t="s">
        <v>79</v>
      </c>
      <c r="H388" t="s">
        <v>34</v>
      </c>
      <c r="I388">
        <v>1000</v>
      </c>
      <c r="K388" s="1"/>
    </row>
    <row r="389" spans="4:11" x14ac:dyDescent="0.35">
      <c r="D389" s="1">
        <v>45261.25</v>
      </c>
      <c r="E389" t="s">
        <v>54</v>
      </c>
      <c r="F389" t="s">
        <v>24</v>
      </c>
      <c r="G389" t="s">
        <v>79</v>
      </c>
      <c r="H389" t="s">
        <v>34</v>
      </c>
      <c r="I389">
        <v>1000</v>
      </c>
      <c r="K389" s="1"/>
    </row>
    <row r="390" spans="4:11" x14ac:dyDescent="0.35">
      <c r="D390" s="1">
        <v>45291.666666666664</v>
      </c>
      <c r="E390" t="s">
        <v>54</v>
      </c>
      <c r="F390" t="s">
        <v>24</v>
      </c>
      <c r="G390" t="s">
        <v>79</v>
      </c>
      <c r="H390" t="s">
        <v>34</v>
      </c>
      <c r="I390">
        <v>1000</v>
      </c>
      <c r="K390" s="1"/>
    </row>
    <row r="391" spans="4:11" x14ac:dyDescent="0.35">
      <c r="D391" s="1">
        <v>45322.083333333336</v>
      </c>
      <c r="E391" t="s">
        <v>54</v>
      </c>
      <c r="F391" t="s">
        <v>24</v>
      </c>
      <c r="G391" t="s">
        <v>79</v>
      </c>
      <c r="H391" t="s">
        <v>34</v>
      </c>
      <c r="I391">
        <v>1000</v>
      </c>
      <c r="K391" s="1"/>
    </row>
    <row r="392" spans="4:11" x14ac:dyDescent="0.35">
      <c r="D392" s="1">
        <v>45352.5</v>
      </c>
      <c r="E392" t="s">
        <v>54</v>
      </c>
      <c r="F392" t="s">
        <v>24</v>
      </c>
      <c r="G392" t="s">
        <v>79</v>
      </c>
      <c r="H392" t="s">
        <v>34</v>
      </c>
      <c r="I392">
        <v>1000</v>
      </c>
      <c r="K392" s="1"/>
    </row>
    <row r="393" spans="4:11" x14ac:dyDescent="0.35">
      <c r="D393" s="1">
        <v>45382.916666666664</v>
      </c>
      <c r="E393" t="s">
        <v>54</v>
      </c>
      <c r="F393" t="s">
        <v>24</v>
      </c>
      <c r="G393" t="s">
        <v>79</v>
      </c>
      <c r="H393" t="s">
        <v>34</v>
      </c>
      <c r="I393">
        <v>1000</v>
      </c>
      <c r="K393" s="1"/>
    </row>
    <row r="394" spans="4:11" x14ac:dyDescent="0.35">
      <c r="D394" s="1">
        <v>45413.333333333336</v>
      </c>
      <c r="E394" t="s">
        <v>54</v>
      </c>
      <c r="F394" t="s">
        <v>24</v>
      </c>
      <c r="G394" t="s">
        <v>79</v>
      </c>
      <c r="H394" t="s">
        <v>34</v>
      </c>
      <c r="I394">
        <v>1000</v>
      </c>
      <c r="K394" s="1"/>
    </row>
    <row r="395" spans="4:11" x14ac:dyDescent="0.35">
      <c r="D395" s="1">
        <v>45443.75</v>
      </c>
      <c r="E395" t="s">
        <v>54</v>
      </c>
      <c r="F395" t="s">
        <v>24</v>
      </c>
      <c r="G395" t="s">
        <v>79</v>
      </c>
      <c r="H395" t="s">
        <v>34</v>
      </c>
      <c r="I395">
        <v>1000</v>
      </c>
      <c r="K395" s="1"/>
    </row>
    <row r="396" spans="4:11" x14ac:dyDescent="0.35">
      <c r="D396" s="1">
        <v>45474.166666666664</v>
      </c>
      <c r="E396" t="s">
        <v>54</v>
      </c>
      <c r="F396" t="s">
        <v>24</v>
      </c>
      <c r="G396" t="s">
        <v>79</v>
      </c>
      <c r="H396" t="s">
        <v>34</v>
      </c>
      <c r="I396">
        <v>1000</v>
      </c>
      <c r="K396" s="1"/>
    </row>
    <row r="397" spans="4:11" x14ac:dyDescent="0.35">
      <c r="D397" s="1">
        <v>45504.583333333336</v>
      </c>
      <c r="E397" t="s">
        <v>54</v>
      </c>
      <c r="F397" t="s">
        <v>24</v>
      </c>
      <c r="G397" t="s">
        <v>79</v>
      </c>
      <c r="H397" t="s">
        <v>34</v>
      </c>
      <c r="I397">
        <v>1000</v>
      </c>
      <c r="K397" s="1"/>
    </row>
    <row r="398" spans="4:11" x14ac:dyDescent="0.35">
      <c r="D398" s="1">
        <v>45535</v>
      </c>
      <c r="E398" t="s">
        <v>54</v>
      </c>
      <c r="F398" t="s">
        <v>24</v>
      </c>
      <c r="G398" t="s">
        <v>79</v>
      </c>
      <c r="H398" t="s">
        <v>34</v>
      </c>
      <c r="I398">
        <v>1000</v>
      </c>
      <c r="K398" s="1"/>
    </row>
    <row r="399" spans="4:11" x14ac:dyDescent="0.35">
      <c r="D399" s="1">
        <v>45565.416666666664</v>
      </c>
      <c r="E399" t="s">
        <v>54</v>
      </c>
      <c r="F399" t="s">
        <v>24</v>
      </c>
      <c r="G399" t="s">
        <v>79</v>
      </c>
      <c r="H399" t="s">
        <v>34</v>
      </c>
      <c r="I399">
        <v>1000</v>
      </c>
      <c r="K399" s="1"/>
    </row>
    <row r="400" spans="4:11" x14ac:dyDescent="0.35">
      <c r="D400" s="1">
        <v>45595.833333333336</v>
      </c>
      <c r="E400" t="s">
        <v>54</v>
      </c>
      <c r="F400" t="s">
        <v>24</v>
      </c>
      <c r="G400" t="s">
        <v>79</v>
      </c>
      <c r="H400" t="s">
        <v>34</v>
      </c>
      <c r="I400">
        <v>1000</v>
      </c>
      <c r="K400" s="1"/>
    </row>
    <row r="401" spans="4:11" x14ac:dyDescent="0.35">
      <c r="D401" s="1">
        <v>45626.25</v>
      </c>
      <c r="E401" t="s">
        <v>54</v>
      </c>
      <c r="F401" t="s">
        <v>24</v>
      </c>
      <c r="G401" t="s">
        <v>79</v>
      </c>
      <c r="H401" t="s">
        <v>34</v>
      </c>
      <c r="I401">
        <v>1000</v>
      </c>
      <c r="K401" s="1"/>
    </row>
    <row r="402" spans="4:11" x14ac:dyDescent="0.35">
      <c r="D402" s="1">
        <v>45656.666666666664</v>
      </c>
      <c r="E402" t="s">
        <v>54</v>
      </c>
      <c r="F402" t="s">
        <v>24</v>
      </c>
      <c r="G402" t="s">
        <v>79</v>
      </c>
      <c r="H402" t="s">
        <v>34</v>
      </c>
      <c r="I402">
        <v>1000</v>
      </c>
      <c r="K402" s="1"/>
    </row>
    <row r="403" spans="4:11" x14ac:dyDescent="0.35">
      <c r="D403" s="1">
        <v>44668.125</v>
      </c>
      <c r="E403" t="s">
        <v>30</v>
      </c>
      <c r="F403" t="s">
        <v>31</v>
      </c>
      <c r="G403" t="s">
        <v>80</v>
      </c>
      <c r="H403" t="s">
        <v>34</v>
      </c>
      <c r="I403">
        <v>8000</v>
      </c>
      <c r="K403" s="1"/>
    </row>
    <row r="404" spans="4:11" x14ac:dyDescent="0.35">
      <c r="D404" s="1">
        <v>44896.25</v>
      </c>
      <c r="E404" t="s">
        <v>30</v>
      </c>
      <c r="F404" t="s">
        <v>31</v>
      </c>
      <c r="G404" t="s">
        <v>80</v>
      </c>
      <c r="H404" t="s">
        <v>34</v>
      </c>
      <c r="I404">
        <v>8000</v>
      </c>
      <c r="K404" s="1"/>
    </row>
    <row r="405" spans="4:11" x14ac:dyDescent="0.35">
      <c r="D405" s="1">
        <v>45124.375</v>
      </c>
      <c r="E405" t="s">
        <v>30</v>
      </c>
      <c r="F405" t="s">
        <v>31</v>
      </c>
      <c r="G405" t="s">
        <v>80</v>
      </c>
      <c r="H405" t="s">
        <v>34</v>
      </c>
      <c r="I405">
        <v>8000</v>
      </c>
      <c r="K405" s="1"/>
    </row>
    <row r="406" spans="4:11" x14ac:dyDescent="0.35">
      <c r="D406" s="1">
        <v>45352.5</v>
      </c>
      <c r="E406" t="s">
        <v>30</v>
      </c>
      <c r="F406" t="s">
        <v>31</v>
      </c>
      <c r="G406" t="s">
        <v>80</v>
      </c>
      <c r="H406" t="s">
        <v>34</v>
      </c>
      <c r="I406">
        <v>8000</v>
      </c>
      <c r="K406" s="1"/>
    </row>
    <row r="407" spans="4:11" x14ac:dyDescent="0.35">
      <c r="D407" s="1">
        <v>45580.625</v>
      </c>
      <c r="E407" t="s">
        <v>30</v>
      </c>
      <c r="F407" t="s">
        <v>31</v>
      </c>
      <c r="G407" t="s">
        <v>80</v>
      </c>
      <c r="H407" t="s">
        <v>34</v>
      </c>
      <c r="I407">
        <v>8000</v>
      </c>
      <c r="K407" s="1"/>
    </row>
    <row r="408" spans="4:11" x14ac:dyDescent="0.35">
      <c r="D408" s="1"/>
      <c r="K408" s="1"/>
    </row>
    <row r="409" spans="4:11" x14ac:dyDescent="0.35">
      <c r="D409" s="1"/>
      <c r="K409" s="1"/>
    </row>
    <row r="410" spans="4:11" x14ac:dyDescent="0.35">
      <c r="D410" s="1"/>
      <c r="K410" s="1"/>
    </row>
    <row r="411" spans="4:11" x14ac:dyDescent="0.35">
      <c r="D411" s="1"/>
      <c r="K411" s="1"/>
    </row>
    <row r="412" spans="4:11" x14ac:dyDescent="0.35">
      <c r="D412" s="1"/>
      <c r="K412" s="1"/>
    </row>
    <row r="413" spans="4:11" x14ac:dyDescent="0.35">
      <c r="D413" s="1"/>
      <c r="K413" s="1"/>
    </row>
    <row r="414" spans="4:11" x14ac:dyDescent="0.35">
      <c r="D414" s="1"/>
      <c r="K414" s="1"/>
    </row>
    <row r="415" spans="4:11" x14ac:dyDescent="0.35">
      <c r="D415" s="1"/>
      <c r="K415" s="1"/>
    </row>
    <row r="416" spans="4:11" x14ac:dyDescent="0.35">
      <c r="D416" s="1"/>
      <c r="K416" s="1"/>
    </row>
    <row r="417" spans="4:11" x14ac:dyDescent="0.35">
      <c r="D417" s="1"/>
      <c r="K417" s="1"/>
    </row>
    <row r="418" spans="4:11" x14ac:dyDescent="0.35">
      <c r="D418" s="1"/>
      <c r="K418" s="1"/>
    </row>
    <row r="419" spans="4:11" x14ac:dyDescent="0.35">
      <c r="D419" s="1"/>
      <c r="K419" s="1"/>
    </row>
    <row r="420" spans="4:11" x14ac:dyDescent="0.35">
      <c r="D420" s="1"/>
      <c r="K420" s="1"/>
    </row>
    <row r="421" spans="4:11" x14ac:dyDescent="0.35">
      <c r="D421" s="1"/>
      <c r="K421" s="1"/>
    </row>
    <row r="422" spans="4:11" x14ac:dyDescent="0.35">
      <c r="D422" s="1"/>
      <c r="K422" s="1"/>
    </row>
    <row r="423" spans="4:11" x14ac:dyDescent="0.35">
      <c r="D423" s="1"/>
      <c r="K423" s="1"/>
    </row>
    <row r="424" spans="4:11" x14ac:dyDescent="0.35">
      <c r="D424" s="1"/>
      <c r="K424" s="1"/>
    </row>
    <row r="425" spans="4:11" x14ac:dyDescent="0.35">
      <c r="D425" s="1"/>
      <c r="K425" s="1"/>
    </row>
    <row r="426" spans="4:11" x14ac:dyDescent="0.35">
      <c r="D426" s="1"/>
      <c r="K426" s="1"/>
    </row>
    <row r="427" spans="4:11" x14ac:dyDescent="0.35">
      <c r="D427" s="1"/>
      <c r="K427" s="1"/>
    </row>
    <row r="428" spans="4:11" x14ac:dyDescent="0.35">
      <c r="D428" s="1"/>
      <c r="K428" s="1"/>
    </row>
    <row r="429" spans="4:11" x14ac:dyDescent="0.35">
      <c r="D429" s="1"/>
      <c r="K429" s="1"/>
    </row>
    <row r="430" spans="4:11" x14ac:dyDescent="0.35">
      <c r="D430" s="1"/>
      <c r="K430" s="1"/>
    </row>
    <row r="431" spans="4:11" x14ac:dyDescent="0.35">
      <c r="D431" s="1"/>
      <c r="K431" s="1"/>
    </row>
    <row r="432" spans="4:11" x14ac:dyDescent="0.35">
      <c r="D432" s="1"/>
      <c r="K432" s="1"/>
    </row>
    <row r="433" spans="4:11" x14ac:dyDescent="0.35">
      <c r="D433" s="1"/>
      <c r="K433" s="1"/>
    </row>
    <row r="434" spans="4:11" x14ac:dyDescent="0.35">
      <c r="D434" s="1"/>
      <c r="K434" s="1"/>
    </row>
    <row r="435" spans="4:11" x14ac:dyDescent="0.35">
      <c r="D435" s="1"/>
      <c r="K435" s="1"/>
    </row>
    <row r="436" spans="4:11" x14ac:dyDescent="0.35">
      <c r="D436" s="1"/>
      <c r="K436" s="1"/>
    </row>
    <row r="437" spans="4:11" x14ac:dyDescent="0.35">
      <c r="D437" s="1"/>
      <c r="K437" s="1"/>
    </row>
    <row r="438" spans="4:11" x14ac:dyDescent="0.35">
      <c r="D438" s="1"/>
      <c r="K438" s="1"/>
    </row>
    <row r="439" spans="4:11" x14ac:dyDescent="0.35">
      <c r="D439" s="1"/>
      <c r="K439" s="1"/>
    </row>
    <row r="440" spans="4:11" x14ac:dyDescent="0.35">
      <c r="D440" s="1"/>
      <c r="K440" s="1"/>
    </row>
    <row r="441" spans="4:11" x14ac:dyDescent="0.35">
      <c r="D441" s="1"/>
      <c r="K441" s="1"/>
    </row>
    <row r="442" spans="4:11" x14ac:dyDescent="0.35">
      <c r="D442" s="1"/>
      <c r="K442" s="1"/>
    </row>
    <row r="443" spans="4:11" x14ac:dyDescent="0.35">
      <c r="D443" s="1"/>
      <c r="K443" s="1"/>
    </row>
    <row r="444" spans="4:11" x14ac:dyDescent="0.35">
      <c r="D444" s="1"/>
      <c r="K444" s="1"/>
    </row>
    <row r="445" spans="4:11" x14ac:dyDescent="0.35">
      <c r="D445" s="1"/>
      <c r="K445" s="1"/>
    </row>
    <row r="446" spans="4:11" x14ac:dyDescent="0.35">
      <c r="D446" s="1"/>
      <c r="K446" s="1"/>
    </row>
    <row r="447" spans="4:11" x14ac:dyDescent="0.35">
      <c r="D447" s="1"/>
      <c r="K447" s="1"/>
    </row>
    <row r="448" spans="4:11" x14ac:dyDescent="0.35">
      <c r="D448" s="1"/>
      <c r="K448" s="1"/>
    </row>
    <row r="449" spans="4:11" x14ac:dyDescent="0.35">
      <c r="D449" s="1"/>
      <c r="K449" s="1"/>
    </row>
    <row r="450" spans="4:11" x14ac:dyDescent="0.35">
      <c r="D450" s="1"/>
      <c r="K450" s="1"/>
    </row>
    <row r="451" spans="4:11" x14ac:dyDescent="0.35">
      <c r="D451" s="1"/>
      <c r="K451" s="1"/>
    </row>
    <row r="452" spans="4:11" x14ac:dyDescent="0.35">
      <c r="D452" s="1"/>
      <c r="K452" s="1"/>
    </row>
    <row r="453" spans="4:11" x14ac:dyDescent="0.35">
      <c r="D453" s="1"/>
      <c r="K453" s="1"/>
    </row>
    <row r="454" spans="4:11" x14ac:dyDescent="0.35">
      <c r="D454" s="1"/>
      <c r="K454" s="1"/>
    </row>
    <row r="455" spans="4:11" x14ac:dyDescent="0.35">
      <c r="D455" s="1"/>
      <c r="K455" s="1"/>
    </row>
    <row r="456" spans="4:11" x14ac:dyDescent="0.35">
      <c r="D456" s="1"/>
      <c r="K456" s="1"/>
    </row>
    <row r="457" spans="4:11" x14ac:dyDescent="0.35">
      <c r="D457" s="1"/>
      <c r="K457" s="1"/>
    </row>
    <row r="458" spans="4:11" x14ac:dyDescent="0.35">
      <c r="D458" s="1"/>
      <c r="K458" s="1"/>
    </row>
    <row r="459" spans="4:11" x14ac:dyDescent="0.35">
      <c r="D459" s="1"/>
      <c r="K459" s="1"/>
    </row>
    <row r="460" spans="4:11" x14ac:dyDescent="0.35">
      <c r="D460" s="1"/>
      <c r="K460" s="1"/>
    </row>
    <row r="461" spans="4:11" x14ac:dyDescent="0.35">
      <c r="D461" s="1"/>
      <c r="K461" s="1"/>
    </row>
    <row r="462" spans="4:11" x14ac:dyDescent="0.35">
      <c r="D462" s="1"/>
      <c r="K462" s="1"/>
    </row>
    <row r="463" spans="4:11" x14ac:dyDescent="0.35">
      <c r="D463" s="1"/>
      <c r="K463" s="1"/>
    </row>
    <row r="464" spans="4:11" x14ac:dyDescent="0.35">
      <c r="D464" s="1"/>
      <c r="K464" s="1"/>
    </row>
    <row r="465" spans="4:11" x14ac:dyDescent="0.35">
      <c r="D465" s="1"/>
      <c r="K465" s="1"/>
    </row>
    <row r="466" spans="4:11" x14ac:dyDescent="0.35">
      <c r="D466" s="1"/>
      <c r="K466" s="1"/>
    </row>
    <row r="467" spans="4:11" x14ac:dyDescent="0.35">
      <c r="D467" s="1"/>
      <c r="K467" s="1"/>
    </row>
    <row r="468" spans="4:11" x14ac:dyDescent="0.35">
      <c r="D468" s="1"/>
      <c r="K468" s="1"/>
    </row>
    <row r="469" spans="4:11" x14ac:dyDescent="0.35">
      <c r="D469" s="1"/>
      <c r="K469" s="1"/>
    </row>
    <row r="470" spans="4:11" x14ac:dyDescent="0.35">
      <c r="D470" s="1"/>
      <c r="K470" s="1"/>
    </row>
    <row r="471" spans="4:11" x14ac:dyDescent="0.35">
      <c r="D471" s="1"/>
      <c r="K471" s="1"/>
    </row>
    <row r="472" spans="4:11" x14ac:dyDescent="0.35">
      <c r="D472" s="1"/>
      <c r="K472" s="1"/>
    </row>
    <row r="473" spans="4:11" x14ac:dyDescent="0.35">
      <c r="D473" s="1"/>
      <c r="K473" s="1"/>
    </row>
    <row r="474" spans="4:11" x14ac:dyDescent="0.35">
      <c r="D474" s="1"/>
      <c r="K474" s="1"/>
    </row>
    <row r="475" spans="4:11" x14ac:dyDescent="0.35">
      <c r="D475" s="1"/>
      <c r="K475" s="1"/>
    </row>
    <row r="476" spans="4:11" x14ac:dyDescent="0.35">
      <c r="D476" s="1"/>
      <c r="K476" s="1"/>
    </row>
    <row r="477" spans="4:11" x14ac:dyDescent="0.35">
      <c r="D477" s="1"/>
      <c r="K477" s="1"/>
    </row>
    <row r="478" spans="4:11" x14ac:dyDescent="0.35">
      <c r="D478" s="1"/>
      <c r="K478" s="1"/>
    </row>
    <row r="479" spans="4:11" x14ac:dyDescent="0.35">
      <c r="D479" s="1"/>
      <c r="K479" s="1"/>
    </row>
    <row r="480" spans="4:11" x14ac:dyDescent="0.35">
      <c r="D480" s="1"/>
      <c r="K480" s="1"/>
    </row>
    <row r="481" spans="4:11" x14ac:dyDescent="0.35">
      <c r="D481" s="1"/>
      <c r="K481" s="1"/>
    </row>
    <row r="482" spans="4:11" x14ac:dyDescent="0.35">
      <c r="D482" s="1"/>
    </row>
    <row r="483" spans="4:11" x14ac:dyDescent="0.35">
      <c r="D483" s="1"/>
    </row>
    <row r="484" spans="4:11" x14ac:dyDescent="0.35">
      <c r="D484" s="1"/>
    </row>
    <row r="485" spans="4:11" x14ac:dyDescent="0.35">
      <c r="D485" s="1"/>
    </row>
    <row r="486" spans="4:11" x14ac:dyDescent="0.35">
      <c r="D486" s="1"/>
    </row>
    <row r="487" spans="4:11" x14ac:dyDescent="0.35">
      <c r="D487" s="1"/>
    </row>
    <row r="488" spans="4:11" x14ac:dyDescent="0.35">
      <c r="D488" s="1"/>
    </row>
    <row r="489" spans="4:11" x14ac:dyDescent="0.35">
      <c r="D489" s="1"/>
    </row>
    <row r="490" spans="4:11" x14ac:dyDescent="0.35">
      <c r="D490" s="1"/>
    </row>
    <row r="491" spans="4:11" x14ac:dyDescent="0.35">
      <c r="D491" s="1"/>
    </row>
    <row r="492" spans="4:11" x14ac:dyDescent="0.35">
      <c r="D492" s="1"/>
    </row>
    <row r="493" spans="4:11" x14ac:dyDescent="0.35">
      <c r="D493" s="1"/>
    </row>
    <row r="494" spans="4:11" x14ac:dyDescent="0.35">
      <c r="D494" s="1"/>
    </row>
    <row r="495" spans="4:11" x14ac:dyDescent="0.35">
      <c r="D495" s="1"/>
    </row>
    <row r="496" spans="4:11" x14ac:dyDescent="0.35">
      <c r="D496" s="1"/>
    </row>
    <row r="497" spans="4:4" x14ac:dyDescent="0.35">
      <c r="D497" s="1"/>
    </row>
    <row r="498" spans="4:4" x14ac:dyDescent="0.35">
      <c r="D498" s="1"/>
    </row>
    <row r="499" spans="4:4" x14ac:dyDescent="0.35">
      <c r="D499" s="1"/>
    </row>
    <row r="500" spans="4:4" x14ac:dyDescent="0.35">
      <c r="D500" s="1"/>
    </row>
    <row r="501" spans="4:4" x14ac:dyDescent="0.35">
      <c r="D501" s="1"/>
    </row>
    <row r="502" spans="4:4" x14ac:dyDescent="0.35">
      <c r="D502" s="1"/>
    </row>
    <row r="503" spans="4:4" x14ac:dyDescent="0.35">
      <c r="D503" s="1"/>
    </row>
    <row r="504" spans="4:4" x14ac:dyDescent="0.35">
      <c r="D504" s="1"/>
    </row>
    <row r="505" spans="4:4" x14ac:dyDescent="0.35">
      <c r="D505" s="1"/>
    </row>
    <row r="506" spans="4:4" x14ac:dyDescent="0.35">
      <c r="D506" s="1"/>
    </row>
    <row r="507" spans="4:4" x14ac:dyDescent="0.35">
      <c r="D507" s="1"/>
    </row>
    <row r="508" spans="4:4" x14ac:dyDescent="0.35">
      <c r="D508" s="1"/>
    </row>
    <row r="509" spans="4:4" x14ac:dyDescent="0.35">
      <c r="D509" s="1"/>
    </row>
    <row r="510" spans="4:4" x14ac:dyDescent="0.35">
      <c r="D510" s="1"/>
    </row>
    <row r="511" spans="4:4" x14ac:dyDescent="0.35">
      <c r="D511" s="1"/>
    </row>
    <row r="512" spans="4:4" x14ac:dyDescent="0.35">
      <c r="D512" s="1"/>
    </row>
    <row r="513" spans="4:4" x14ac:dyDescent="0.35">
      <c r="D513" s="1"/>
    </row>
    <row r="514" spans="4:4" x14ac:dyDescent="0.35">
      <c r="D514" s="1"/>
    </row>
    <row r="515" spans="4:4" x14ac:dyDescent="0.35">
      <c r="D515" s="1"/>
    </row>
    <row r="516" spans="4:4" x14ac:dyDescent="0.35">
      <c r="D516" s="1"/>
    </row>
    <row r="517" spans="4:4" x14ac:dyDescent="0.35">
      <c r="D517" s="1"/>
    </row>
    <row r="518" spans="4:4" x14ac:dyDescent="0.35">
      <c r="D518" s="1"/>
    </row>
    <row r="519" spans="4:4" x14ac:dyDescent="0.35">
      <c r="D519" s="1"/>
    </row>
    <row r="520" spans="4:4" x14ac:dyDescent="0.35">
      <c r="D520" s="1"/>
    </row>
    <row r="521" spans="4:4" x14ac:dyDescent="0.35">
      <c r="D521" s="1"/>
    </row>
    <row r="522" spans="4:4" x14ac:dyDescent="0.35">
      <c r="D522" s="1"/>
    </row>
    <row r="523" spans="4:4" x14ac:dyDescent="0.35">
      <c r="D523" s="1"/>
    </row>
    <row r="524" spans="4:4" x14ac:dyDescent="0.35">
      <c r="D524" s="1"/>
    </row>
    <row r="525" spans="4:4" x14ac:dyDescent="0.35">
      <c r="D525" s="1"/>
    </row>
    <row r="526" spans="4:4" x14ac:dyDescent="0.35">
      <c r="D526" s="1"/>
    </row>
    <row r="527" spans="4:4" x14ac:dyDescent="0.35">
      <c r="D527" s="1"/>
    </row>
    <row r="528" spans="4:4" x14ac:dyDescent="0.35">
      <c r="D528" s="1"/>
    </row>
    <row r="529" spans="4:4" x14ac:dyDescent="0.35">
      <c r="D529" s="1"/>
    </row>
    <row r="530" spans="4:4" x14ac:dyDescent="0.35">
      <c r="D530" s="1"/>
    </row>
    <row r="531" spans="4:4" x14ac:dyDescent="0.35">
      <c r="D531" s="1"/>
    </row>
    <row r="532" spans="4:4" x14ac:dyDescent="0.35">
      <c r="D532" s="1"/>
    </row>
    <row r="533" spans="4:4" x14ac:dyDescent="0.35">
      <c r="D533" s="1"/>
    </row>
    <row r="534" spans="4:4" x14ac:dyDescent="0.35">
      <c r="D534" s="1"/>
    </row>
    <row r="535" spans="4:4" x14ac:dyDescent="0.35">
      <c r="D535" s="1"/>
    </row>
    <row r="536" spans="4:4" x14ac:dyDescent="0.35">
      <c r="D536" s="1"/>
    </row>
    <row r="537" spans="4:4" x14ac:dyDescent="0.35">
      <c r="D537" s="1"/>
    </row>
    <row r="538" spans="4:4" x14ac:dyDescent="0.35">
      <c r="D538" s="1"/>
    </row>
    <row r="539" spans="4:4" x14ac:dyDescent="0.35">
      <c r="D539" s="1"/>
    </row>
    <row r="540" spans="4:4" x14ac:dyDescent="0.35">
      <c r="D540" s="1"/>
    </row>
    <row r="541" spans="4:4" x14ac:dyDescent="0.35">
      <c r="D541" s="1"/>
    </row>
    <row r="542" spans="4:4" x14ac:dyDescent="0.35">
      <c r="D542" s="1"/>
    </row>
    <row r="543" spans="4:4" x14ac:dyDescent="0.35">
      <c r="D543" s="1"/>
    </row>
    <row r="544" spans="4:4" x14ac:dyDescent="0.35">
      <c r="D544" s="1"/>
    </row>
    <row r="545" spans="4:4" x14ac:dyDescent="0.35">
      <c r="D545" s="1"/>
    </row>
    <row r="546" spans="4:4" x14ac:dyDescent="0.35">
      <c r="D546" s="1"/>
    </row>
    <row r="547" spans="4:4" x14ac:dyDescent="0.35">
      <c r="D547" s="1"/>
    </row>
    <row r="548" spans="4:4" x14ac:dyDescent="0.35">
      <c r="D548" s="1"/>
    </row>
    <row r="549" spans="4:4" x14ac:dyDescent="0.35">
      <c r="D549" s="1"/>
    </row>
    <row r="550" spans="4:4" x14ac:dyDescent="0.35">
      <c r="D550" s="1"/>
    </row>
    <row r="551" spans="4:4" x14ac:dyDescent="0.35">
      <c r="D551" s="1"/>
    </row>
    <row r="552" spans="4:4" x14ac:dyDescent="0.35">
      <c r="D552" s="1"/>
    </row>
    <row r="553" spans="4:4" x14ac:dyDescent="0.35">
      <c r="D553" s="1"/>
    </row>
    <row r="554" spans="4:4" x14ac:dyDescent="0.35">
      <c r="D554" s="1"/>
    </row>
    <row r="555" spans="4:4" x14ac:dyDescent="0.35">
      <c r="D555" s="1"/>
    </row>
    <row r="556" spans="4:4" x14ac:dyDescent="0.35">
      <c r="D556" s="1"/>
    </row>
    <row r="557" spans="4:4" x14ac:dyDescent="0.35">
      <c r="D557" s="1"/>
    </row>
    <row r="558" spans="4:4" x14ac:dyDescent="0.35">
      <c r="D558" s="1"/>
    </row>
    <row r="559" spans="4:4" x14ac:dyDescent="0.35">
      <c r="D559" s="1"/>
    </row>
    <row r="560" spans="4:4" x14ac:dyDescent="0.35">
      <c r="D560" s="1"/>
    </row>
    <row r="561" spans="4:4" x14ac:dyDescent="0.35">
      <c r="D561" s="1"/>
    </row>
    <row r="562" spans="4:4" x14ac:dyDescent="0.35">
      <c r="D562" s="1"/>
    </row>
    <row r="563" spans="4:4" x14ac:dyDescent="0.35">
      <c r="D563" s="1"/>
    </row>
    <row r="564" spans="4:4" x14ac:dyDescent="0.35">
      <c r="D564" s="1"/>
    </row>
    <row r="565" spans="4:4" x14ac:dyDescent="0.35">
      <c r="D565" s="1"/>
    </row>
    <row r="566" spans="4:4" x14ac:dyDescent="0.35">
      <c r="D566" s="1"/>
    </row>
    <row r="567" spans="4:4" x14ac:dyDescent="0.35">
      <c r="D567" s="1"/>
    </row>
    <row r="568" spans="4:4" x14ac:dyDescent="0.35">
      <c r="D568" s="1"/>
    </row>
    <row r="569" spans="4:4" x14ac:dyDescent="0.35">
      <c r="D569" s="1"/>
    </row>
    <row r="570" spans="4:4" x14ac:dyDescent="0.35">
      <c r="D570" s="1"/>
    </row>
    <row r="571" spans="4:4" x14ac:dyDescent="0.35">
      <c r="D571" s="1"/>
    </row>
    <row r="572" spans="4:4" x14ac:dyDescent="0.35">
      <c r="D572" s="1"/>
    </row>
    <row r="573" spans="4:4" x14ac:dyDescent="0.35">
      <c r="D573" s="1"/>
    </row>
    <row r="574" spans="4:4" x14ac:dyDescent="0.35">
      <c r="D574" s="1"/>
    </row>
    <row r="575" spans="4:4" x14ac:dyDescent="0.35">
      <c r="D575" s="1"/>
    </row>
    <row r="576" spans="4:4" x14ac:dyDescent="0.35">
      <c r="D576" s="1"/>
    </row>
    <row r="577" spans="4:4" x14ac:dyDescent="0.35">
      <c r="D577" s="1"/>
    </row>
    <row r="578" spans="4:4" x14ac:dyDescent="0.35">
      <c r="D578" s="1"/>
    </row>
    <row r="579" spans="4:4" x14ac:dyDescent="0.35">
      <c r="D579" s="1"/>
    </row>
    <row r="580" spans="4:4" x14ac:dyDescent="0.35">
      <c r="D580" s="1"/>
    </row>
    <row r="581" spans="4:4" x14ac:dyDescent="0.35">
      <c r="D581" s="1"/>
    </row>
    <row r="582" spans="4:4" x14ac:dyDescent="0.35">
      <c r="D582" s="1"/>
    </row>
    <row r="583" spans="4:4" x14ac:dyDescent="0.35">
      <c r="D583" s="1"/>
    </row>
    <row r="584" spans="4:4" x14ac:dyDescent="0.35">
      <c r="D584" s="1"/>
    </row>
    <row r="585" spans="4:4" x14ac:dyDescent="0.35">
      <c r="D585" s="1"/>
    </row>
    <row r="586" spans="4:4" x14ac:dyDescent="0.35">
      <c r="D586" s="1"/>
    </row>
    <row r="587" spans="4:4" x14ac:dyDescent="0.35">
      <c r="D587" s="1"/>
    </row>
    <row r="588" spans="4:4" x14ac:dyDescent="0.35">
      <c r="D588" s="1"/>
    </row>
    <row r="589" spans="4:4" x14ac:dyDescent="0.35">
      <c r="D589" s="1"/>
    </row>
    <row r="590" spans="4:4" x14ac:dyDescent="0.35">
      <c r="D590" s="1"/>
    </row>
    <row r="591" spans="4:4" x14ac:dyDescent="0.35">
      <c r="D591" s="1"/>
    </row>
    <row r="592" spans="4:4" x14ac:dyDescent="0.35">
      <c r="D592" s="1"/>
    </row>
    <row r="593" spans="4:4" x14ac:dyDescent="0.35">
      <c r="D593" s="1"/>
    </row>
    <row r="594" spans="4:4" x14ac:dyDescent="0.35">
      <c r="D594" s="1"/>
    </row>
    <row r="595" spans="4:4" x14ac:dyDescent="0.35">
      <c r="D595" s="1"/>
    </row>
    <row r="596" spans="4:4" x14ac:dyDescent="0.35">
      <c r="D596" s="1"/>
    </row>
    <row r="597" spans="4:4" x14ac:dyDescent="0.35">
      <c r="D597" s="1"/>
    </row>
    <row r="598" spans="4:4" x14ac:dyDescent="0.35">
      <c r="D598" s="1"/>
    </row>
    <row r="599" spans="4:4" x14ac:dyDescent="0.35">
      <c r="D599" s="1"/>
    </row>
    <row r="600" spans="4:4" x14ac:dyDescent="0.35">
      <c r="D600" s="1"/>
    </row>
    <row r="601" spans="4:4" x14ac:dyDescent="0.35">
      <c r="D601" s="1"/>
    </row>
    <row r="602" spans="4:4" x14ac:dyDescent="0.35">
      <c r="D602" s="1"/>
    </row>
    <row r="603" spans="4:4" x14ac:dyDescent="0.35">
      <c r="D603" s="1"/>
    </row>
    <row r="604" spans="4:4" x14ac:dyDescent="0.35">
      <c r="D604" s="1"/>
    </row>
    <row r="605" spans="4:4" x14ac:dyDescent="0.35">
      <c r="D605" s="1"/>
    </row>
    <row r="606" spans="4:4" x14ac:dyDescent="0.35">
      <c r="D606" s="1"/>
    </row>
    <row r="607" spans="4:4" x14ac:dyDescent="0.35">
      <c r="D607" s="1"/>
    </row>
    <row r="608" spans="4:4" x14ac:dyDescent="0.35">
      <c r="D608" s="1"/>
    </row>
    <row r="609" spans="4:4" x14ac:dyDescent="0.35">
      <c r="D609" s="1"/>
    </row>
    <row r="610" spans="4:4" x14ac:dyDescent="0.35">
      <c r="D610" s="1"/>
    </row>
    <row r="611" spans="4:4" x14ac:dyDescent="0.35">
      <c r="D611" s="1"/>
    </row>
    <row r="612" spans="4:4" x14ac:dyDescent="0.35">
      <c r="D612" s="1"/>
    </row>
    <row r="613" spans="4:4" x14ac:dyDescent="0.35">
      <c r="D613" s="1"/>
    </row>
    <row r="614" spans="4:4" x14ac:dyDescent="0.35">
      <c r="D614" s="1"/>
    </row>
    <row r="615" spans="4:4" x14ac:dyDescent="0.35">
      <c r="D615" s="1"/>
    </row>
    <row r="616" spans="4:4" x14ac:dyDescent="0.35">
      <c r="D616" s="1"/>
    </row>
    <row r="617" spans="4:4" x14ac:dyDescent="0.35">
      <c r="D617" s="1"/>
    </row>
    <row r="618" spans="4:4" x14ac:dyDescent="0.35">
      <c r="D618" s="1"/>
    </row>
    <row r="619" spans="4:4" x14ac:dyDescent="0.35">
      <c r="D619" s="1"/>
    </row>
    <row r="620" spans="4:4" x14ac:dyDescent="0.35">
      <c r="D620" s="1"/>
    </row>
    <row r="621" spans="4:4" x14ac:dyDescent="0.35">
      <c r="D621" s="1"/>
    </row>
    <row r="622" spans="4:4" x14ac:dyDescent="0.35">
      <c r="D622" s="1"/>
    </row>
    <row r="623" spans="4:4" x14ac:dyDescent="0.35">
      <c r="D623" s="1"/>
    </row>
    <row r="624" spans="4:4" x14ac:dyDescent="0.35">
      <c r="D624" s="1"/>
    </row>
    <row r="625" spans="4:4" x14ac:dyDescent="0.35">
      <c r="D625" s="1"/>
    </row>
    <row r="626" spans="4:4" x14ac:dyDescent="0.35">
      <c r="D626" s="1"/>
    </row>
    <row r="627" spans="4:4" x14ac:dyDescent="0.35">
      <c r="D627" s="1"/>
    </row>
    <row r="628" spans="4:4" x14ac:dyDescent="0.35">
      <c r="D628" s="1"/>
    </row>
    <row r="629" spans="4:4" x14ac:dyDescent="0.35">
      <c r="D629" s="1"/>
    </row>
    <row r="630" spans="4:4" x14ac:dyDescent="0.35">
      <c r="D630" s="1"/>
    </row>
    <row r="631" spans="4:4" x14ac:dyDescent="0.35">
      <c r="D631" s="1"/>
    </row>
    <row r="632" spans="4:4" x14ac:dyDescent="0.35">
      <c r="D632" s="1"/>
    </row>
    <row r="633" spans="4:4" x14ac:dyDescent="0.35">
      <c r="D633" s="1"/>
    </row>
    <row r="634" spans="4:4" x14ac:dyDescent="0.35">
      <c r="D634" s="1"/>
    </row>
    <row r="635" spans="4:4" x14ac:dyDescent="0.35">
      <c r="D635" s="1"/>
    </row>
    <row r="636" spans="4:4" x14ac:dyDescent="0.35">
      <c r="D636" s="1"/>
    </row>
    <row r="637" spans="4:4" x14ac:dyDescent="0.35">
      <c r="D637" s="1"/>
    </row>
    <row r="638" spans="4:4" x14ac:dyDescent="0.35">
      <c r="D638" s="1"/>
    </row>
    <row r="639" spans="4:4" x14ac:dyDescent="0.35">
      <c r="D639" s="1"/>
    </row>
    <row r="640" spans="4:4" x14ac:dyDescent="0.35">
      <c r="D640" s="1"/>
    </row>
    <row r="641" spans="4:4" x14ac:dyDescent="0.35">
      <c r="D641" s="1"/>
    </row>
    <row r="642" spans="4:4" x14ac:dyDescent="0.35">
      <c r="D642" s="1"/>
    </row>
    <row r="643" spans="4:4" x14ac:dyDescent="0.35">
      <c r="D643" s="1"/>
    </row>
    <row r="644" spans="4:4" x14ac:dyDescent="0.35">
      <c r="D644" s="1"/>
    </row>
    <row r="645" spans="4:4" x14ac:dyDescent="0.35">
      <c r="D645" s="1"/>
    </row>
    <row r="646" spans="4:4" x14ac:dyDescent="0.35">
      <c r="D646" s="1"/>
    </row>
    <row r="647" spans="4:4" x14ac:dyDescent="0.35">
      <c r="D647" s="1"/>
    </row>
    <row r="648" spans="4:4" x14ac:dyDescent="0.35">
      <c r="D648" s="1"/>
    </row>
    <row r="649" spans="4:4" x14ac:dyDescent="0.35">
      <c r="D649" s="1"/>
    </row>
    <row r="650" spans="4:4" x14ac:dyDescent="0.35">
      <c r="D650" s="1"/>
    </row>
    <row r="651" spans="4:4" x14ac:dyDescent="0.35">
      <c r="D651" s="1"/>
    </row>
    <row r="652" spans="4:4" x14ac:dyDescent="0.35">
      <c r="D652" s="1"/>
    </row>
    <row r="653" spans="4:4" x14ac:dyDescent="0.35">
      <c r="D653" s="1"/>
    </row>
    <row r="654" spans="4:4" x14ac:dyDescent="0.35">
      <c r="D654" s="1"/>
    </row>
    <row r="655" spans="4:4" x14ac:dyDescent="0.35">
      <c r="D655" s="1"/>
    </row>
    <row r="656" spans="4:4" x14ac:dyDescent="0.35">
      <c r="D656" s="1"/>
    </row>
    <row r="657" spans="4:4" x14ac:dyDescent="0.35">
      <c r="D657" s="1"/>
    </row>
    <row r="658" spans="4:4" x14ac:dyDescent="0.35">
      <c r="D658" s="1"/>
    </row>
    <row r="659" spans="4:4" x14ac:dyDescent="0.35">
      <c r="D659" s="1"/>
    </row>
    <row r="660" spans="4:4" x14ac:dyDescent="0.35">
      <c r="D660" s="1"/>
    </row>
    <row r="661" spans="4:4" x14ac:dyDescent="0.35">
      <c r="D661" s="1"/>
    </row>
    <row r="662" spans="4:4" x14ac:dyDescent="0.35">
      <c r="D662" s="1"/>
    </row>
    <row r="663" spans="4:4" x14ac:dyDescent="0.35">
      <c r="D663" s="1"/>
    </row>
    <row r="664" spans="4:4" x14ac:dyDescent="0.35">
      <c r="D664" s="1"/>
    </row>
    <row r="665" spans="4:4" x14ac:dyDescent="0.35">
      <c r="D665" s="1"/>
    </row>
    <row r="666" spans="4:4" x14ac:dyDescent="0.35">
      <c r="D666" s="1"/>
    </row>
    <row r="667" spans="4:4" x14ac:dyDescent="0.35">
      <c r="D667" s="1"/>
    </row>
    <row r="668" spans="4:4" x14ac:dyDescent="0.35">
      <c r="D668" s="1"/>
    </row>
    <row r="669" spans="4:4" x14ac:dyDescent="0.35">
      <c r="D669" s="1"/>
    </row>
    <row r="670" spans="4:4" x14ac:dyDescent="0.35">
      <c r="D670" s="1"/>
    </row>
    <row r="671" spans="4:4" x14ac:dyDescent="0.35">
      <c r="D671" s="1"/>
    </row>
    <row r="672" spans="4:4" x14ac:dyDescent="0.35">
      <c r="D672" s="1"/>
    </row>
    <row r="673" spans="4:4" x14ac:dyDescent="0.35">
      <c r="D673" s="1"/>
    </row>
    <row r="674" spans="4:4" x14ac:dyDescent="0.35">
      <c r="D674" s="1"/>
    </row>
    <row r="675" spans="4:4" x14ac:dyDescent="0.35">
      <c r="D675" s="1"/>
    </row>
    <row r="676" spans="4:4" x14ac:dyDescent="0.35">
      <c r="D676" s="1"/>
    </row>
    <row r="677" spans="4:4" x14ac:dyDescent="0.35">
      <c r="D677" s="1"/>
    </row>
    <row r="678" spans="4:4" x14ac:dyDescent="0.35">
      <c r="D678" s="1"/>
    </row>
    <row r="679" spans="4:4" x14ac:dyDescent="0.35">
      <c r="D679" s="1"/>
    </row>
    <row r="680" spans="4:4" x14ac:dyDescent="0.35">
      <c r="D680" s="1"/>
    </row>
    <row r="681" spans="4:4" x14ac:dyDescent="0.35">
      <c r="D681" s="1"/>
    </row>
    <row r="682" spans="4:4" x14ac:dyDescent="0.35">
      <c r="D682" s="1"/>
    </row>
    <row r="683" spans="4:4" x14ac:dyDescent="0.35">
      <c r="D683" s="1"/>
    </row>
    <row r="684" spans="4:4" x14ac:dyDescent="0.35">
      <c r="D684" s="1"/>
    </row>
    <row r="685" spans="4:4" x14ac:dyDescent="0.35">
      <c r="D685" s="1"/>
    </row>
    <row r="686" spans="4:4" x14ac:dyDescent="0.35">
      <c r="D686" s="1"/>
    </row>
    <row r="687" spans="4:4" x14ac:dyDescent="0.35">
      <c r="D687" s="1"/>
    </row>
    <row r="688" spans="4:4" x14ac:dyDescent="0.35">
      <c r="D688" s="1"/>
    </row>
    <row r="689" spans="4:4" x14ac:dyDescent="0.35">
      <c r="D689" s="1"/>
    </row>
    <row r="690" spans="4:4" x14ac:dyDescent="0.35">
      <c r="D690" s="1"/>
    </row>
    <row r="691" spans="4:4" x14ac:dyDescent="0.35">
      <c r="D691" s="1"/>
    </row>
    <row r="692" spans="4:4" x14ac:dyDescent="0.35">
      <c r="D692" s="1"/>
    </row>
    <row r="693" spans="4:4" x14ac:dyDescent="0.35">
      <c r="D693" s="1"/>
    </row>
    <row r="694" spans="4:4" x14ac:dyDescent="0.35">
      <c r="D694" s="1"/>
    </row>
    <row r="695" spans="4:4" x14ac:dyDescent="0.35">
      <c r="D695" s="1"/>
    </row>
    <row r="696" spans="4:4" x14ac:dyDescent="0.35">
      <c r="D696" s="1"/>
    </row>
    <row r="697" spans="4:4" x14ac:dyDescent="0.35">
      <c r="D697" s="1"/>
    </row>
    <row r="698" spans="4:4" x14ac:dyDescent="0.35">
      <c r="D698" s="1"/>
    </row>
    <row r="699" spans="4:4" x14ac:dyDescent="0.35">
      <c r="D699" s="1"/>
    </row>
    <row r="700" spans="4:4" x14ac:dyDescent="0.35">
      <c r="D700" s="1"/>
    </row>
    <row r="701" spans="4:4" x14ac:dyDescent="0.35">
      <c r="D701" s="1"/>
    </row>
    <row r="702" spans="4:4" x14ac:dyDescent="0.35">
      <c r="D702" s="1"/>
    </row>
    <row r="703" spans="4:4" x14ac:dyDescent="0.35">
      <c r="D703" s="1"/>
    </row>
    <row r="704" spans="4:4" x14ac:dyDescent="0.35">
      <c r="D704" s="1"/>
    </row>
    <row r="705" spans="4:4" x14ac:dyDescent="0.35">
      <c r="D705" s="1"/>
    </row>
    <row r="706" spans="4:4" x14ac:dyDescent="0.35">
      <c r="D706" s="1"/>
    </row>
    <row r="707" spans="4:4" x14ac:dyDescent="0.35">
      <c r="D707" s="1"/>
    </row>
    <row r="708" spans="4:4" x14ac:dyDescent="0.35">
      <c r="D708" s="1"/>
    </row>
    <row r="709" spans="4:4" x14ac:dyDescent="0.35">
      <c r="D709" s="1"/>
    </row>
    <row r="710" spans="4:4" x14ac:dyDescent="0.35">
      <c r="D710" s="1"/>
    </row>
    <row r="711" spans="4:4" x14ac:dyDescent="0.35">
      <c r="D711" s="1"/>
    </row>
    <row r="712" spans="4:4" x14ac:dyDescent="0.35">
      <c r="D712" s="1"/>
    </row>
    <row r="713" spans="4:4" x14ac:dyDescent="0.35">
      <c r="D713" s="1"/>
    </row>
    <row r="714" spans="4:4" x14ac:dyDescent="0.35">
      <c r="D714" s="1"/>
    </row>
    <row r="715" spans="4:4" x14ac:dyDescent="0.35">
      <c r="D715" s="1"/>
    </row>
    <row r="716" spans="4:4" x14ac:dyDescent="0.35">
      <c r="D716" s="1"/>
    </row>
    <row r="717" spans="4:4" x14ac:dyDescent="0.35">
      <c r="D717" s="1"/>
    </row>
    <row r="718" spans="4:4" x14ac:dyDescent="0.35">
      <c r="D718" s="1"/>
    </row>
    <row r="719" spans="4:4" x14ac:dyDescent="0.35">
      <c r="D719" s="1"/>
    </row>
    <row r="720" spans="4:4" x14ac:dyDescent="0.35">
      <c r="D720" s="1"/>
    </row>
    <row r="721" spans="4:4" x14ac:dyDescent="0.35">
      <c r="D721" s="1"/>
    </row>
    <row r="722" spans="4:4" x14ac:dyDescent="0.35">
      <c r="D722" s="1"/>
    </row>
    <row r="723" spans="4:4" x14ac:dyDescent="0.35">
      <c r="D723" s="1"/>
    </row>
    <row r="724" spans="4:4" x14ac:dyDescent="0.35">
      <c r="D724" s="1"/>
    </row>
    <row r="725" spans="4:4" x14ac:dyDescent="0.35">
      <c r="D725" s="1"/>
    </row>
    <row r="726" spans="4:4" x14ac:dyDescent="0.35">
      <c r="D726" s="1"/>
    </row>
    <row r="727" spans="4:4" x14ac:dyDescent="0.35">
      <c r="D727" s="1"/>
    </row>
    <row r="728" spans="4:4" x14ac:dyDescent="0.35">
      <c r="D728" s="1"/>
    </row>
    <row r="729" spans="4:4" x14ac:dyDescent="0.35">
      <c r="D729" s="1"/>
    </row>
    <row r="730" spans="4:4" x14ac:dyDescent="0.35">
      <c r="D730" s="1"/>
    </row>
    <row r="731" spans="4:4" x14ac:dyDescent="0.35">
      <c r="D731" s="1"/>
    </row>
    <row r="732" spans="4:4" x14ac:dyDescent="0.35">
      <c r="D732" s="1"/>
    </row>
    <row r="733" spans="4:4" x14ac:dyDescent="0.35">
      <c r="D733" s="1"/>
    </row>
    <row r="734" spans="4:4" x14ac:dyDescent="0.35">
      <c r="D734" s="1"/>
    </row>
    <row r="735" spans="4:4" x14ac:dyDescent="0.35">
      <c r="D735" s="1"/>
    </row>
    <row r="736" spans="4:4" x14ac:dyDescent="0.35">
      <c r="D736" s="1"/>
    </row>
    <row r="737" spans="4:4" x14ac:dyDescent="0.35">
      <c r="D737" s="1"/>
    </row>
    <row r="738" spans="4:4" x14ac:dyDescent="0.35">
      <c r="D738" s="1"/>
    </row>
    <row r="739" spans="4:4" x14ac:dyDescent="0.35">
      <c r="D739" s="1"/>
    </row>
    <row r="740" spans="4:4" x14ac:dyDescent="0.35">
      <c r="D740" s="1"/>
    </row>
    <row r="741" spans="4:4" x14ac:dyDescent="0.35">
      <c r="D741" s="1"/>
    </row>
    <row r="742" spans="4:4" x14ac:dyDescent="0.35">
      <c r="D742" s="1"/>
    </row>
    <row r="743" spans="4:4" x14ac:dyDescent="0.35">
      <c r="D743" s="1"/>
    </row>
    <row r="744" spans="4:4" x14ac:dyDescent="0.35">
      <c r="D744" s="1"/>
    </row>
    <row r="745" spans="4:4" x14ac:dyDescent="0.35">
      <c r="D745" s="1"/>
    </row>
    <row r="746" spans="4:4" x14ac:dyDescent="0.35">
      <c r="D746" s="1"/>
    </row>
    <row r="747" spans="4:4" x14ac:dyDescent="0.35">
      <c r="D747" s="1"/>
    </row>
    <row r="748" spans="4:4" x14ac:dyDescent="0.35">
      <c r="D748" s="1"/>
    </row>
    <row r="749" spans="4:4" x14ac:dyDescent="0.35">
      <c r="D749" s="1"/>
    </row>
    <row r="750" spans="4:4" x14ac:dyDescent="0.35">
      <c r="D750" s="1"/>
    </row>
    <row r="751" spans="4:4" x14ac:dyDescent="0.35">
      <c r="D751" s="1"/>
    </row>
    <row r="752" spans="4:4" x14ac:dyDescent="0.35">
      <c r="D752" s="1"/>
    </row>
    <row r="753" spans="4:4" x14ac:dyDescent="0.35">
      <c r="D753" s="1"/>
    </row>
    <row r="754" spans="4:4" x14ac:dyDescent="0.35">
      <c r="D754" s="1"/>
    </row>
    <row r="755" spans="4:4" x14ac:dyDescent="0.35">
      <c r="D755" s="1"/>
    </row>
    <row r="756" spans="4:4" x14ac:dyDescent="0.35">
      <c r="D756" s="1"/>
    </row>
    <row r="757" spans="4:4" x14ac:dyDescent="0.35">
      <c r="D757" s="1"/>
    </row>
    <row r="758" spans="4:4" x14ac:dyDescent="0.35">
      <c r="D758" s="1"/>
    </row>
    <row r="759" spans="4:4" x14ac:dyDescent="0.35">
      <c r="D759" s="1"/>
    </row>
    <row r="760" spans="4:4" x14ac:dyDescent="0.35">
      <c r="D760" s="1"/>
    </row>
    <row r="761" spans="4:4" x14ac:dyDescent="0.35">
      <c r="D761" s="1"/>
    </row>
    <row r="762" spans="4:4" x14ac:dyDescent="0.35">
      <c r="D762" s="1"/>
    </row>
    <row r="763" spans="4:4" x14ac:dyDescent="0.35">
      <c r="D763" s="1"/>
    </row>
    <row r="764" spans="4:4" x14ac:dyDescent="0.35">
      <c r="D764" s="1"/>
    </row>
    <row r="765" spans="4:4" x14ac:dyDescent="0.35">
      <c r="D765" s="1"/>
    </row>
    <row r="766" spans="4:4" x14ac:dyDescent="0.35">
      <c r="D766" s="1"/>
    </row>
    <row r="767" spans="4:4" x14ac:dyDescent="0.35">
      <c r="D767" s="1"/>
    </row>
    <row r="768" spans="4:4" x14ac:dyDescent="0.35">
      <c r="D768" s="1"/>
    </row>
    <row r="769" spans="4:4" x14ac:dyDescent="0.35">
      <c r="D769" s="1"/>
    </row>
    <row r="770" spans="4:4" x14ac:dyDescent="0.35">
      <c r="D770" s="1"/>
    </row>
    <row r="771" spans="4:4" x14ac:dyDescent="0.35">
      <c r="D771" s="1"/>
    </row>
    <row r="772" spans="4:4" x14ac:dyDescent="0.35">
      <c r="D772" s="1"/>
    </row>
    <row r="773" spans="4:4" x14ac:dyDescent="0.35">
      <c r="D773" s="1"/>
    </row>
    <row r="774" spans="4:4" x14ac:dyDescent="0.35">
      <c r="D774" s="1"/>
    </row>
    <row r="775" spans="4:4" x14ac:dyDescent="0.35">
      <c r="D775" s="1"/>
    </row>
    <row r="776" spans="4:4" x14ac:dyDescent="0.35">
      <c r="D776" s="1"/>
    </row>
    <row r="777" spans="4:4" x14ac:dyDescent="0.35">
      <c r="D777" s="1"/>
    </row>
    <row r="778" spans="4:4" x14ac:dyDescent="0.35">
      <c r="D778" s="1"/>
    </row>
    <row r="779" spans="4:4" x14ac:dyDescent="0.35">
      <c r="D779" s="1"/>
    </row>
    <row r="780" spans="4:4" x14ac:dyDescent="0.35">
      <c r="D780" s="1"/>
    </row>
    <row r="781" spans="4:4" x14ac:dyDescent="0.35">
      <c r="D781" s="1"/>
    </row>
    <row r="782" spans="4:4" x14ac:dyDescent="0.35">
      <c r="D782" s="1"/>
    </row>
    <row r="783" spans="4:4" x14ac:dyDescent="0.35">
      <c r="D783" s="1"/>
    </row>
    <row r="784" spans="4:4" x14ac:dyDescent="0.35">
      <c r="D784" s="1"/>
    </row>
    <row r="785" spans="4:4" x14ac:dyDescent="0.35">
      <c r="D785" s="1"/>
    </row>
    <row r="786" spans="4:4" x14ac:dyDescent="0.35">
      <c r="D786" s="1"/>
    </row>
    <row r="787" spans="4:4" x14ac:dyDescent="0.35">
      <c r="D787" s="1"/>
    </row>
    <row r="788" spans="4:4" x14ac:dyDescent="0.35">
      <c r="D788" s="1"/>
    </row>
    <row r="789" spans="4:4" x14ac:dyDescent="0.35">
      <c r="D789" s="1"/>
    </row>
    <row r="790" spans="4:4" x14ac:dyDescent="0.35">
      <c r="D790" s="1"/>
    </row>
    <row r="791" spans="4:4" x14ac:dyDescent="0.35">
      <c r="D791" s="1"/>
    </row>
    <row r="792" spans="4:4" x14ac:dyDescent="0.35">
      <c r="D792" s="1"/>
    </row>
    <row r="793" spans="4:4" x14ac:dyDescent="0.35">
      <c r="D793" s="1"/>
    </row>
    <row r="794" spans="4:4" x14ac:dyDescent="0.35">
      <c r="D794" s="1"/>
    </row>
    <row r="795" spans="4:4" x14ac:dyDescent="0.35">
      <c r="D795" s="1"/>
    </row>
    <row r="796" spans="4:4" x14ac:dyDescent="0.35">
      <c r="D796" s="1"/>
    </row>
    <row r="797" spans="4:4" x14ac:dyDescent="0.35">
      <c r="D797" s="1"/>
    </row>
    <row r="798" spans="4:4" x14ac:dyDescent="0.35">
      <c r="D798" s="1"/>
    </row>
    <row r="799" spans="4:4" x14ac:dyDescent="0.35">
      <c r="D799" s="1"/>
    </row>
    <row r="800" spans="4:4" x14ac:dyDescent="0.35">
      <c r="D800" s="1"/>
    </row>
    <row r="801" spans="4:4" x14ac:dyDescent="0.35">
      <c r="D801" s="1"/>
    </row>
    <row r="802" spans="4:4" x14ac:dyDescent="0.35">
      <c r="D802" s="1"/>
    </row>
    <row r="803" spans="4:4" x14ac:dyDescent="0.35">
      <c r="D803" s="1"/>
    </row>
    <row r="804" spans="4:4" x14ac:dyDescent="0.35">
      <c r="D804" s="1"/>
    </row>
    <row r="805" spans="4:4" x14ac:dyDescent="0.35">
      <c r="D805" s="1"/>
    </row>
    <row r="806" spans="4:4" x14ac:dyDescent="0.35">
      <c r="D806" s="1"/>
    </row>
    <row r="807" spans="4:4" x14ac:dyDescent="0.35">
      <c r="D807" s="1"/>
    </row>
    <row r="808" spans="4:4" x14ac:dyDescent="0.35">
      <c r="D808" s="1"/>
    </row>
    <row r="809" spans="4:4" x14ac:dyDescent="0.35">
      <c r="D809" s="1"/>
    </row>
    <row r="810" spans="4:4" x14ac:dyDescent="0.35">
      <c r="D810" s="1"/>
    </row>
    <row r="811" spans="4:4" x14ac:dyDescent="0.35">
      <c r="D811" s="1"/>
    </row>
    <row r="812" spans="4:4" x14ac:dyDescent="0.35">
      <c r="D812" s="1"/>
    </row>
    <row r="813" spans="4:4" x14ac:dyDescent="0.35">
      <c r="D813" s="1"/>
    </row>
    <row r="814" spans="4:4" x14ac:dyDescent="0.35">
      <c r="D814" s="1"/>
    </row>
    <row r="815" spans="4:4" x14ac:dyDescent="0.35">
      <c r="D815" s="1"/>
    </row>
    <row r="816" spans="4:4" x14ac:dyDescent="0.35">
      <c r="D816" s="1"/>
    </row>
    <row r="817" spans="4:4" x14ac:dyDescent="0.35">
      <c r="D817" s="1"/>
    </row>
    <row r="818" spans="4:4" x14ac:dyDescent="0.35">
      <c r="D818" s="1"/>
    </row>
    <row r="819" spans="4:4" x14ac:dyDescent="0.35">
      <c r="D819" s="1"/>
    </row>
    <row r="820" spans="4:4" x14ac:dyDescent="0.35">
      <c r="D820" s="1"/>
    </row>
    <row r="821" spans="4:4" x14ac:dyDescent="0.35">
      <c r="D821" s="1"/>
    </row>
    <row r="822" spans="4:4" x14ac:dyDescent="0.35">
      <c r="D822" s="1"/>
    </row>
    <row r="823" spans="4:4" x14ac:dyDescent="0.35">
      <c r="D823" s="1"/>
    </row>
    <row r="824" spans="4:4" x14ac:dyDescent="0.35">
      <c r="D824" s="1"/>
    </row>
    <row r="825" spans="4:4" x14ac:dyDescent="0.35">
      <c r="D825" s="1"/>
    </row>
    <row r="826" spans="4:4" x14ac:dyDescent="0.35">
      <c r="D826" s="1"/>
    </row>
    <row r="827" spans="4:4" x14ac:dyDescent="0.35">
      <c r="D827" s="1"/>
    </row>
    <row r="828" spans="4:4" x14ac:dyDescent="0.35">
      <c r="D828" s="1"/>
    </row>
    <row r="829" spans="4:4" x14ac:dyDescent="0.35">
      <c r="D829" s="1"/>
    </row>
    <row r="830" spans="4:4" x14ac:dyDescent="0.35">
      <c r="D830" s="1"/>
    </row>
    <row r="831" spans="4:4" x14ac:dyDescent="0.35">
      <c r="D831" s="1"/>
    </row>
    <row r="832" spans="4:4" x14ac:dyDescent="0.35">
      <c r="D832" s="1"/>
    </row>
    <row r="833" spans="4:4" x14ac:dyDescent="0.35">
      <c r="D833" s="1"/>
    </row>
    <row r="834" spans="4:4" x14ac:dyDescent="0.35">
      <c r="D834" s="1"/>
    </row>
    <row r="835" spans="4:4" x14ac:dyDescent="0.35">
      <c r="D835" s="1"/>
    </row>
    <row r="836" spans="4:4" x14ac:dyDescent="0.35">
      <c r="D836" s="1"/>
    </row>
    <row r="837" spans="4:4" x14ac:dyDescent="0.35">
      <c r="D837" s="1"/>
    </row>
    <row r="838" spans="4:4" x14ac:dyDescent="0.35">
      <c r="D838" s="1"/>
    </row>
    <row r="839" spans="4:4" x14ac:dyDescent="0.35">
      <c r="D839" s="1"/>
    </row>
    <row r="840" spans="4:4" x14ac:dyDescent="0.35">
      <c r="D840" s="1"/>
    </row>
    <row r="841" spans="4:4" x14ac:dyDescent="0.35">
      <c r="D841" s="1"/>
    </row>
    <row r="842" spans="4:4" x14ac:dyDescent="0.35">
      <c r="D842" s="1"/>
    </row>
    <row r="843" spans="4:4" x14ac:dyDescent="0.35">
      <c r="D843" s="1"/>
    </row>
    <row r="844" spans="4:4" x14ac:dyDescent="0.35">
      <c r="D844" s="1"/>
    </row>
    <row r="845" spans="4:4" x14ac:dyDescent="0.35">
      <c r="D845" s="1"/>
    </row>
    <row r="846" spans="4:4" x14ac:dyDescent="0.35">
      <c r="D846" s="1"/>
    </row>
    <row r="847" spans="4:4" x14ac:dyDescent="0.35">
      <c r="D847" s="1"/>
    </row>
    <row r="848" spans="4:4" x14ac:dyDescent="0.35">
      <c r="D848" s="1"/>
    </row>
    <row r="849" spans="4:4" x14ac:dyDescent="0.35">
      <c r="D849" s="1"/>
    </row>
    <row r="850" spans="4:4" x14ac:dyDescent="0.35">
      <c r="D850" s="1"/>
    </row>
    <row r="851" spans="4:4" x14ac:dyDescent="0.35">
      <c r="D851" s="1"/>
    </row>
    <row r="852" spans="4:4" x14ac:dyDescent="0.35">
      <c r="D852" s="1"/>
    </row>
    <row r="853" spans="4:4" x14ac:dyDescent="0.35">
      <c r="D853" s="1"/>
    </row>
    <row r="854" spans="4:4" x14ac:dyDescent="0.35">
      <c r="D854" s="1"/>
    </row>
    <row r="855" spans="4:4" x14ac:dyDescent="0.35">
      <c r="D855" s="1"/>
    </row>
    <row r="856" spans="4:4" x14ac:dyDescent="0.35">
      <c r="D856" s="1"/>
    </row>
    <row r="857" spans="4:4" x14ac:dyDescent="0.35">
      <c r="D857" s="1"/>
    </row>
    <row r="858" spans="4:4" x14ac:dyDescent="0.35">
      <c r="D858" s="1"/>
    </row>
    <row r="859" spans="4:4" x14ac:dyDescent="0.35">
      <c r="D859" s="1"/>
    </row>
    <row r="860" spans="4:4" x14ac:dyDescent="0.35">
      <c r="D860" s="1"/>
    </row>
    <row r="861" spans="4:4" x14ac:dyDescent="0.35">
      <c r="D861" s="1"/>
    </row>
    <row r="862" spans="4:4" x14ac:dyDescent="0.35">
      <c r="D862" s="1"/>
    </row>
    <row r="863" spans="4:4" x14ac:dyDescent="0.35">
      <c r="D863" s="1"/>
    </row>
    <row r="864" spans="4:4" x14ac:dyDescent="0.35">
      <c r="D864" s="1"/>
    </row>
    <row r="865" spans="4:4" x14ac:dyDescent="0.35">
      <c r="D865" s="1"/>
    </row>
    <row r="866" spans="4:4" x14ac:dyDescent="0.35">
      <c r="D866" s="1"/>
    </row>
    <row r="867" spans="4:4" x14ac:dyDescent="0.35">
      <c r="D867" s="1"/>
    </row>
    <row r="868" spans="4:4" x14ac:dyDescent="0.35">
      <c r="D868" s="1"/>
    </row>
    <row r="869" spans="4:4" x14ac:dyDescent="0.35">
      <c r="D869" s="1"/>
    </row>
    <row r="870" spans="4:4" x14ac:dyDescent="0.35">
      <c r="D870" s="1"/>
    </row>
    <row r="871" spans="4:4" x14ac:dyDescent="0.35">
      <c r="D871" s="1"/>
    </row>
    <row r="872" spans="4:4" x14ac:dyDescent="0.35">
      <c r="D872" s="1"/>
    </row>
    <row r="873" spans="4:4" x14ac:dyDescent="0.35">
      <c r="D873" s="1"/>
    </row>
    <row r="874" spans="4:4" x14ac:dyDescent="0.35">
      <c r="D874" s="1"/>
    </row>
    <row r="875" spans="4:4" x14ac:dyDescent="0.35">
      <c r="D875" s="1"/>
    </row>
    <row r="876" spans="4:4" x14ac:dyDescent="0.35">
      <c r="D876" s="1"/>
    </row>
    <row r="877" spans="4:4" x14ac:dyDescent="0.35">
      <c r="D877" s="1"/>
    </row>
    <row r="878" spans="4:4" x14ac:dyDescent="0.35">
      <c r="D878" s="1"/>
    </row>
    <row r="879" spans="4:4" x14ac:dyDescent="0.35">
      <c r="D879" s="1"/>
    </row>
    <row r="880" spans="4:4" x14ac:dyDescent="0.35">
      <c r="D880" s="1"/>
    </row>
    <row r="881" spans="4:4" x14ac:dyDescent="0.35">
      <c r="D881" s="1"/>
    </row>
    <row r="882" spans="4:4" x14ac:dyDescent="0.35">
      <c r="D882" s="1"/>
    </row>
    <row r="883" spans="4:4" x14ac:dyDescent="0.35">
      <c r="D883" s="1"/>
    </row>
    <row r="884" spans="4:4" x14ac:dyDescent="0.35">
      <c r="D884" s="1"/>
    </row>
    <row r="885" spans="4:4" x14ac:dyDescent="0.35">
      <c r="D885" s="1"/>
    </row>
    <row r="886" spans="4:4" x14ac:dyDescent="0.35">
      <c r="D886" s="1"/>
    </row>
    <row r="887" spans="4:4" x14ac:dyDescent="0.35">
      <c r="D887" s="1"/>
    </row>
    <row r="888" spans="4:4" x14ac:dyDescent="0.35">
      <c r="D888" s="1"/>
    </row>
    <row r="889" spans="4:4" x14ac:dyDescent="0.35">
      <c r="D889" s="1"/>
    </row>
    <row r="890" spans="4:4" x14ac:dyDescent="0.35">
      <c r="D890" s="1"/>
    </row>
    <row r="891" spans="4:4" x14ac:dyDescent="0.35">
      <c r="D891" s="1"/>
    </row>
    <row r="892" spans="4:4" x14ac:dyDescent="0.35">
      <c r="D892" s="1"/>
    </row>
    <row r="893" spans="4:4" x14ac:dyDescent="0.35">
      <c r="D893" s="1"/>
    </row>
    <row r="894" spans="4:4" x14ac:dyDescent="0.35">
      <c r="D894" s="1"/>
    </row>
    <row r="895" spans="4:4" x14ac:dyDescent="0.35">
      <c r="D895" s="1"/>
    </row>
    <row r="896" spans="4:4" x14ac:dyDescent="0.35">
      <c r="D896" s="1"/>
    </row>
    <row r="897" spans="4:4" x14ac:dyDescent="0.35">
      <c r="D897" s="1"/>
    </row>
    <row r="898" spans="4:4" x14ac:dyDescent="0.35">
      <c r="D898" s="1"/>
    </row>
    <row r="899" spans="4:4" x14ac:dyDescent="0.35">
      <c r="D899" s="1"/>
    </row>
    <row r="900" spans="4:4" x14ac:dyDescent="0.35">
      <c r="D900" s="1"/>
    </row>
    <row r="901" spans="4:4" x14ac:dyDescent="0.35">
      <c r="D901" s="1"/>
    </row>
    <row r="902" spans="4:4" x14ac:dyDescent="0.35">
      <c r="D902" s="1"/>
    </row>
    <row r="903" spans="4:4" x14ac:dyDescent="0.35">
      <c r="D903" s="1"/>
    </row>
    <row r="904" spans="4:4" x14ac:dyDescent="0.35">
      <c r="D904" s="1"/>
    </row>
    <row r="905" spans="4:4" x14ac:dyDescent="0.35">
      <c r="D905" s="1"/>
    </row>
    <row r="906" spans="4:4" x14ac:dyDescent="0.35">
      <c r="D906" s="1"/>
    </row>
    <row r="907" spans="4:4" x14ac:dyDescent="0.35">
      <c r="D907" s="1"/>
    </row>
    <row r="908" spans="4:4" x14ac:dyDescent="0.35">
      <c r="D908" s="1"/>
    </row>
    <row r="909" spans="4:4" x14ac:dyDescent="0.35">
      <c r="D909" s="1"/>
    </row>
    <row r="910" spans="4:4" x14ac:dyDescent="0.35">
      <c r="D910" s="1"/>
    </row>
    <row r="911" spans="4:4" x14ac:dyDescent="0.35">
      <c r="D911" s="1"/>
    </row>
    <row r="912" spans="4:4" x14ac:dyDescent="0.35">
      <c r="D912" s="1"/>
    </row>
    <row r="913" spans="4:4" x14ac:dyDescent="0.35">
      <c r="D913" s="1"/>
    </row>
    <row r="914" spans="4:4" x14ac:dyDescent="0.35">
      <c r="D914" s="1"/>
    </row>
    <row r="915" spans="4:4" x14ac:dyDescent="0.35">
      <c r="D915" s="1"/>
    </row>
    <row r="916" spans="4:4" x14ac:dyDescent="0.35">
      <c r="D916" s="1"/>
    </row>
    <row r="917" spans="4:4" x14ac:dyDescent="0.35">
      <c r="D917" s="1"/>
    </row>
    <row r="918" spans="4:4" x14ac:dyDescent="0.35">
      <c r="D918" s="1"/>
    </row>
    <row r="919" spans="4:4" x14ac:dyDescent="0.35">
      <c r="D919" s="1"/>
    </row>
    <row r="920" spans="4:4" x14ac:dyDescent="0.35">
      <c r="D920" s="1"/>
    </row>
    <row r="921" spans="4:4" x14ac:dyDescent="0.35">
      <c r="D921" s="1"/>
    </row>
    <row r="922" spans="4:4" x14ac:dyDescent="0.35">
      <c r="D922" s="1"/>
    </row>
    <row r="923" spans="4:4" x14ac:dyDescent="0.35">
      <c r="D923" s="1"/>
    </row>
    <row r="924" spans="4:4" x14ac:dyDescent="0.35">
      <c r="D924" s="1"/>
    </row>
    <row r="925" spans="4:4" x14ac:dyDescent="0.35">
      <c r="D925" s="1"/>
    </row>
    <row r="926" spans="4:4" x14ac:dyDescent="0.35">
      <c r="D926" s="1"/>
    </row>
    <row r="927" spans="4:4" x14ac:dyDescent="0.35">
      <c r="D927" s="1"/>
    </row>
    <row r="928" spans="4:4" x14ac:dyDescent="0.35">
      <c r="D928" s="1"/>
    </row>
    <row r="929" spans="4:4" x14ac:dyDescent="0.35">
      <c r="D929" s="1"/>
    </row>
    <row r="930" spans="4:4" x14ac:dyDescent="0.35">
      <c r="D930" s="1"/>
    </row>
    <row r="931" spans="4:4" x14ac:dyDescent="0.35">
      <c r="D931" s="1"/>
    </row>
    <row r="932" spans="4:4" x14ac:dyDescent="0.35">
      <c r="D932" s="1"/>
    </row>
    <row r="933" spans="4:4" x14ac:dyDescent="0.35">
      <c r="D933" s="1"/>
    </row>
    <row r="934" spans="4:4" x14ac:dyDescent="0.35">
      <c r="D934" s="1"/>
    </row>
    <row r="935" spans="4:4" x14ac:dyDescent="0.35">
      <c r="D935" s="1"/>
    </row>
    <row r="936" spans="4:4" x14ac:dyDescent="0.35">
      <c r="D936" s="1"/>
    </row>
    <row r="937" spans="4:4" x14ac:dyDescent="0.35">
      <c r="D937" s="1"/>
    </row>
    <row r="938" spans="4:4" x14ac:dyDescent="0.35">
      <c r="D938" s="1"/>
    </row>
    <row r="939" spans="4:4" x14ac:dyDescent="0.35">
      <c r="D939" s="1"/>
    </row>
    <row r="940" spans="4:4" x14ac:dyDescent="0.35">
      <c r="D940" s="1"/>
    </row>
    <row r="941" spans="4:4" x14ac:dyDescent="0.35">
      <c r="D941" s="1"/>
    </row>
    <row r="942" spans="4:4" x14ac:dyDescent="0.35">
      <c r="D942" s="1"/>
    </row>
    <row r="943" spans="4:4" x14ac:dyDescent="0.35">
      <c r="D943" s="1"/>
    </row>
    <row r="944" spans="4:4" x14ac:dyDescent="0.35">
      <c r="D944" s="1"/>
    </row>
    <row r="945" spans="4:4" x14ac:dyDescent="0.35">
      <c r="D945" s="1"/>
    </row>
    <row r="946" spans="4:4" x14ac:dyDescent="0.35">
      <c r="D946" s="1"/>
    </row>
    <row r="947" spans="4:4" x14ac:dyDescent="0.35">
      <c r="D947" s="1"/>
    </row>
    <row r="948" spans="4:4" x14ac:dyDescent="0.35">
      <c r="D948" s="1"/>
    </row>
    <row r="949" spans="4:4" x14ac:dyDescent="0.35">
      <c r="D949" s="1"/>
    </row>
    <row r="950" spans="4:4" x14ac:dyDescent="0.35">
      <c r="D950" s="1"/>
    </row>
    <row r="951" spans="4:4" x14ac:dyDescent="0.35">
      <c r="D951" s="1"/>
    </row>
    <row r="952" spans="4:4" x14ac:dyDescent="0.35">
      <c r="D952" s="1"/>
    </row>
    <row r="953" spans="4:4" x14ac:dyDescent="0.35">
      <c r="D953" s="1"/>
    </row>
    <row r="954" spans="4:4" x14ac:dyDescent="0.35">
      <c r="D954" s="1"/>
    </row>
    <row r="955" spans="4:4" x14ac:dyDescent="0.35">
      <c r="D955" s="1"/>
    </row>
    <row r="956" spans="4:4" x14ac:dyDescent="0.35">
      <c r="D956" s="1"/>
    </row>
    <row r="957" spans="4:4" x14ac:dyDescent="0.35">
      <c r="D957" s="1"/>
    </row>
    <row r="958" spans="4:4" x14ac:dyDescent="0.35">
      <c r="D958" s="1"/>
    </row>
    <row r="959" spans="4:4" x14ac:dyDescent="0.35">
      <c r="D959" s="1"/>
    </row>
    <row r="960" spans="4:4" x14ac:dyDescent="0.35">
      <c r="D960" s="1"/>
    </row>
    <row r="961" spans="4:4" x14ac:dyDescent="0.35">
      <c r="D961" s="1"/>
    </row>
    <row r="962" spans="4:4" x14ac:dyDescent="0.35">
      <c r="D962" s="1"/>
    </row>
    <row r="963" spans="4:4" x14ac:dyDescent="0.35">
      <c r="D963" s="1"/>
    </row>
    <row r="964" spans="4:4" x14ac:dyDescent="0.35">
      <c r="D964" s="1"/>
    </row>
    <row r="965" spans="4:4" x14ac:dyDescent="0.35">
      <c r="D965" s="1"/>
    </row>
    <row r="966" spans="4:4" x14ac:dyDescent="0.35">
      <c r="D966" s="1"/>
    </row>
    <row r="967" spans="4:4" x14ac:dyDescent="0.35">
      <c r="D967" s="1"/>
    </row>
    <row r="968" spans="4:4" x14ac:dyDescent="0.35">
      <c r="D968" s="1"/>
    </row>
    <row r="969" spans="4:4" x14ac:dyDescent="0.35">
      <c r="D969" s="1"/>
    </row>
    <row r="970" spans="4:4" x14ac:dyDescent="0.35">
      <c r="D970" s="1"/>
    </row>
    <row r="971" spans="4:4" x14ac:dyDescent="0.35">
      <c r="D971" s="1"/>
    </row>
    <row r="972" spans="4:4" x14ac:dyDescent="0.35">
      <c r="D972" s="1"/>
    </row>
    <row r="973" spans="4:4" x14ac:dyDescent="0.35">
      <c r="D973" s="1"/>
    </row>
    <row r="974" spans="4:4" x14ac:dyDescent="0.35">
      <c r="D974" s="1"/>
    </row>
    <row r="975" spans="4:4" x14ac:dyDescent="0.35">
      <c r="D975" s="1"/>
    </row>
    <row r="976" spans="4:4" x14ac:dyDescent="0.35">
      <c r="D976" s="1"/>
    </row>
    <row r="977" spans="4:4" x14ac:dyDescent="0.35">
      <c r="D977" s="1"/>
    </row>
    <row r="978" spans="4:4" x14ac:dyDescent="0.35">
      <c r="D978" s="1"/>
    </row>
    <row r="979" spans="4:4" x14ac:dyDescent="0.35">
      <c r="D979" s="1"/>
    </row>
    <row r="980" spans="4:4" x14ac:dyDescent="0.35">
      <c r="D980" s="1"/>
    </row>
    <row r="981" spans="4:4" x14ac:dyDescent="0.35">
      <c r="D981" s="1"/>
    </row>
    <row r="982" spans="4:4" x14ac:dyDescent="0.35">
      <c r="D982" s="1"/>
    </row>
    <row r="983" spans="4:4" x14ac:dyDescent="0.35">
      <c r="D983" s="1"/>
    </row>
    <row r="984" spans="4:4" x14ac:dyDescent="0.35">
      <c r="D984" s="1"/>
    </row>
    <row r="985" spans="4:4" x14ac:dyDescent="0.35">
      <c r="D985" s="1"/>
    </row>
    <row r="986" spans="4:4" x14ac:dyDescent="0.35">
      <c r="D986" s="1"/>
    </row>
    <row r="987" spans="4:4" x14ac:dyDescent="0.35">
      <c r="D987" s="1"/>
    </row>
    <row r="988" spans="4:4" x14ac:dyDescent="0.35">
      <c r="D988" s="1"/>
    </row>
    <row r="989" spans="4:4" x14ac:dyDescent="0.35">
      <c r="D989" s="1"/>
    </row>
    <row r="990" spans="4:4" x14ac:dyDescent="0.35">
      <c r="D990" s="1"/>
    </row>
    <row r="991" spans="4:4" x14ac:dyDescent="0.35">
      <c r="D991" s="1"/>
    </row>
    <row r="992" spans="4:4" x14ac:dyDescent="0.35">
      <c r="D992" s="1"/>
    </row>
    <row r="993" spans="4:4" x14ac:dyDescent="0.35">
      <c r="D993" s="1"/>
    </row>
    <row r="994" spans="4:4" x14ac:dyDescent="0.35">
      <c r="D994" s="1"/>
    </row>
    <row r="995" spans="4:4" x14ac:dyDescent="0.35">
      <c r="D995" s="1"/>
    </row>
    <row r="996" spans="4:4" x14ac:dyDescent="0.35">
      <c r="D996" s="1"/>
    </row>
    <row r="997" spans="4:4" x14ac:dyDescent="0.35">
      <c r="D997" s="1"/>
    </row>
    <row r="998" spans="4:4" x14ac:dyDescent="0.35">
      <c r="D998" s="1"/>
    </row>
    <row r="999" spans="4:4" x14ac:dyDescent="0.35">
      <c r="D999" s="1"/>
    </row>
    <row r="1000" spans="4:4" x14ac:dyDescent="0.35">
      <c r="D1000" s="1"/>
    </row>
    <row r="1001" spans="4:4" x14ac:dyDescent="0.35">
      <c r="D1001" s="1"/>
    </row>
    <row r="1002" spans="4:4" x14ac:dyDescent="0.35">
      <c r="D1002" s="1"/>
    </row>
    <row r="1003" spans="4:4" x14ac:dyDescent="0.35">
      <c r="D1003" s="1"/>
    </row>
    <row r="1004" spans="4:4" x14ac:dyDescent="0.35">
      <c r="D1004" s="1"/>
    </row>
    <row r="1005" spans="4:4" x14ac:dyDescent="0.35">
      <c r="D1005" s="1"/>
    </row>
    <row r="1006" spans="4:4" x14ac:dyDescent="0.35">
      <c r="D1006" s="1"/>
    </row>
    <row r="1007" spans="4:4" x14ac:dyDescent="0.35">
      <c r="D1007" s="1"/>
    </row>
    <row r="1008" spans="4:4" x14ac:dyDescent="0.35">
      <c r="D1008" s="1"/>
    </row>
    <row r="1009" spans="4:4" x14ac:dyDescent="0.35">
      <c r="D1009" s="1"/>
    </row>
    <row r="1010" spans="4:4" x14ac:dyDescent="0.35">
      <c r="D1010" s="1"/>
    </row>
    <row r="1011" spans="4:4" x14ac:dyDescent="0.35">
      <c r="D1011" s="1"/>
    </row>
    <row r="1012" spans="4:4" x14ac:dyDescent="0.35">
      <c r="D1012" s="1"/>
    </row>
    <row r="1013" spans="4:4" x14ac:dyDescent="0.35">
      <c r="D1013" s="1"/>
    </row>
    <row r="1014" spans="4:4" x14ac:dyDescent="0.35">
      <c r="D1014" s="1"/>
    </row>
    <row r="1015" spans="4:4" x14ac:dyDescent="0.35">
      <c r="D1015" s="1"/>
    </row>
    <row r="1016" spans="4:4" x14ac:dyDescent="0.35">
      <c r="D1016" s="1"/>
    </row>
    <row r="1017" spans="4:4" x14ac:dyDescent="0.35">
      <c r="D1017" s="1"/>
    </row>
    <row r="1018" spans="4:4" x14ac:dyDescent="0.35">
      <c r="D1018" s="1"/>
    </row>
    <row r="1019" spans="4:4" x14ac:dyDescent="0.35">
      <c r="D1019" s="1"/>
    </row>
    <row r="1020" spans="4:4" x14ac:dyDescent="0.35">
      <c r="D1020" s="1"/>
    </row>
    <row r="1021" spans="4:4" x14ac:dyDescent="0.35">
      <c r="D1021" s="1"/>
    </row>
    <row r="1022" spans="4:4" x14ac:dyDescent="0.35">
      <c r="D1022" s="1"/>
    </row>
    <row r="1023" spans="4:4" x14ac:dyDescent="0.35">
      <c r="D1023" s="1"/>
    </row>
    <row r="1024" spans="4:4" x14ac:dyDescent="0.35">
      <c r="D1024" s="1"/>
    </row>
    <row r="1025" spans="4:4" x14ac:dyDescent="0.35">
      <c r="D1025" s="1"/>
    </row>
    <row r="1026" spans="4:4" x14ac:dyDescent="0.35">
      <c r="D1026" s="1"/>
    </row>
    <row r="1027" spans="4:4" x14ac:dyDescent="0.35">
      <c r="D1027" s="1"/>
    </row>
    <row r="1028" spans="4:4" x14ac:dyDescent="0.35">
      <c r="D1028" s="1"/>
    </row>
    <row r="1029" spans="4:4" x14ac:dyDescent="0.35">
      <c r="D1029" s="1"/>
    </row>
    <row r="1030" spans="4:4" x14ac:dyDescent="0.35">
      <c r="D1030" s="1"/>
    </row>
    <row r="1031" spans="4:4" x14ac:dyDescent="0.35">
      <c r="D1031" s="1"/>
    </row>
    <row r="1032" spans="4:4" x14ac:dyDescent="0.35">
      <c r="D1032" s="1"/>
    </row>
    <row r="1033" spans="4:4" x14ac:dyDescent="0.35">
      <c r="D1033" s="1"/>
    </row>
    <row r="1034" spans="4:4" x14ac:dyDescent="0.35">
      <c r="D1034" s="1"/>
    </row>
    <row r="1035" spans="4:4" x14ac:dyDescent="0.35">
      <c r="D1035" s="1"/>
    </row>
    <row r="1036" spans="4:4" x14ac:dyDescent="0.35">
      <c r="D1036" s="1"/>
    </row>
    <row r="1037" spans="4:4" x14ac:dyDescent="0.35">
      <c r="D1037" s="1"/>
    </row>
    <row r="1038" spans="4:4" x14ac:dyDescent="0.35">
      <c r="D1038" s="1"/>
    </row>
    <row r="1039" spans="4:4" x14ac:dyDescent="0.35">
      <c r="D1039" s="1"/>
    </row>
    <row r="1040" spans="4:4" x14ac:dyDescent="0.35">
      <c r="D1040" s="1"/>
    </row>
    <row r="1041" spans="4:4" x14ac:dyDescent="0.35">
      <c r="D1041" s="1"/>
    </row>
    <row r="1042" spans="4:4" x14ac:dyDescent="0.35">
      <c r="D1042" s="1"/>
    </row>
    <row r="1043" spans="4:4" x14ac:dyDescent="0.35">
      <c r="D1043" s="1"/>
    </row>
    <row r="1044" spans="4:4" x14ac:dyDescent="0.35">
      <c r="D1044" s="1"/>
    </row>
    <row r="1045" spans="4:4" x14ac:dyDescent="0.35">
      <c r="D1045" s="1"/>
    </row>
    <row r="1046" spans="4:4" x14ac:dyDescent="0.35">
      <c r="D1046" s="1"/>
    </row>
    <row r="1047" spans="4:4" x14ac:dyDescent="0.35">
      <c r="D1047" s="1"/>
    </row>
    <row r="1048" spans="4:4" x14ac:dyDescent="0.35">
      <c r="D1048" s="1"/>
    </row>
    <row r="1049" spans="4:4" x14ac:dyDescent="0.35">
      <c r="D1049" s="1"/>
    </row>
    <row r="1050" spans="4:4" x14ac:dyDescent="0.35">
      <c r="D1050" s="1"/>
    </row>
    <row r="1051" spans="4:4" x14ac:dyDescent="0.35">
      <c r="D1051" s="1"/>
    </row>
    <row r="1052" spans="4:4" x14ac:dyDescent="0.35">
      <c r="D1052" s="1"/>
    </row>
    <row r="1053" spans="4:4" x14ac:dyDescent="0.35">
      <c r="D1053" s="1"/>
    </row>
    <row r="1054" spans="4:4" x14ac:dyDescent="0.35">
      <c r="D1054" s="1"/>
    </row>
    <row r="1055" spans="4:4" x14ac:dyDescent="0.35">
      <c r="D1055" s="1"/>
    </row>
    <row r="1056" spans="4:4" x14ac:dyDescent="0.35">
      <c r="D1056" s="1"/>
    </row>
    <row r="1057" spans="4:4" x14ac:dyDescent="0.35">
      <c r="D1057" s="1"/>
    </row>
    <row r="1058" spans="4:4" x14ac:dyDescent="0.35">
      <c r="D1058" s="1"/>
    </row>
    <row r="1059" spans="4:4" x14ac:dyDescent="0.35">
      <c r="D1059" s="1"/>
    </row>
    <row r="1060" spans="4:4" x14ac:dyDescent="0.35">
      <c r="D1060" s="1"/>
    </row>
    <row r="1061" spans="4:4" x14ac:dyDescent="0.35">
      <c r="D1061" s="1"/>
    </row>
    <row r="1062" spans="4:4" x14ac:dyDescent="0.35">
      <c r="D1062" s="1"/>
    </row>
    <row r="1063" spans="4:4" x14ac:dyDescent="0.35">
      <c r="D1063" s="1"/>
    </row>
    <row r="1064" spans="4:4" x14ac:dyDescent="0.35">
      <c r="D1064" s="1"/>
    </row>
    <row r="1065" spans="4:4" x14ac:dyDescent="0.35">
      <c r="D1065" s="1"/>
    </row>
    <row r="1066" spans="4:4" x14ac:dyDescent="0.35">
      <c r="D1066" s="1"/>
    </row>
    <row r="1067" spans="4:4" x14ac:dyDescent="0.35">
      <c r="D1067" s="1"/>
    </row>
    <row r="1068" spans="4:4" x14ac:dyDescent="0.35">
      <c r="D1068" s="1"/>
    </row>
    <row r="1069" spans="4:4" x14ac:dyDescent="0.35">
      <c r="D1069" s="1"/>
    </row>
    <row r="1070" spans="4:4" x14ac:dyDescent="0.35">
      <c r="D1070" s="1"/>
    </row>
    <row r="1071" spans="4:4" x14ac:dyDescent="0.35">
      <c r="D1071" s="1"/>
    </row>
    <row r="1072" spans="4:4" x14ac:dyDescent="0.35">
      <c r="D1072" s="1"/>
    </row>
    <row r="1073" spans="4:4" x14ac:dyDescent="0.35">
      <c r="D1073" s="1"/>
    </row>
    <row r="1074" spans="4:4" x14ac:dyDescent="0.35">
      <c r="D1074" s="1"/>
    </row>
    <row r="1075" spans="4:4" x14ac:dyDescent="0.35">
      <c r="D1075" s="1"/>
    </row>
    <row r="1076" spans="4:4" x14ac:dyDescent="0.35">
      <c r="D1076" s="1"/>
    </row>
    <row r="1077" spans="4:4" x14ac:dyDescent="0.35">
      <c r="D1077" s="1"/>
    </row>
    <row r="1078" spans="4:4" x14ac:dyDescent="0.35">
      <c r="D1078" s="1"/>
    </row>
    <row r="1079" spans="4:4" x14ac:dyDescent="0.35">
      <c r="D1079" s="1"/>
    </row>
    <row r="1080" spans="4:4" x14ac:dyDescent="0.35">
      <c r="D1080" s="1"/>
    </row>
    <row r="1081" spans="4:4" x14ac:dyDescent="0.35">
      <c r="D1081" s="1"/>
    </row>
    <row r="1082" spans="4:4" x14ac:dyDescent="0.35">
      <c r="D1082" s="1"/>
    </row>
    <row r="1083" spans="4:4" x14ac:dyDescent="0.35">
      <c r="D1083" s="1"/>
    </row>
    <row r="1084" spans="4:4" x14ac:dyDescent="0.35">
      <c r="D1084" s="1"/>
    </row>
    <row r="1085" spans="4:4" x14ac:dyDescent="0.35">
      <c r="D1085" s="1"/>
    </row>
    <row r="1086" spans="4:4" x14ac:dyDescent="0.35">
      <c r="D1086" s="1"/>
    </row>
    <row r="1087" spans="4:4" x14ac:dyDescent="0.35">
      <c r="D1087" s="1"/>
    </row>
    <row r="1088" spans="4:4" x14ac:dyDescent="0.35">
      <c r="D1088" s="1"/>
    </row>
    <row r="1089" spans="4:4" x14ac:dyDescent="0.35">
      <c r="D1089" s="1"/>
    </row>
    <row r="1090" spans="4:4" x14ac:dyDescent="0.35">
      <c r="D1090" s="1"/>
    </row>
    <row r="1091" spans="4:4" x14ac:dyDescent="0.35">
      <c r="D1091" s="1"/>
    </row>
    <row r="1092" spans="4:4" x14ac:dyDescent="0.35">
      <c r="D1092" s="1"/>
    </row>
    <row r="1093" spans="4:4" x14ac:dyDescent="0.35">
      <c r="D1093" s="1"/>
    </row>
    <row r="1094" spans="4:4" x14ac:dyDescent="0.35">
      <c r="D1094" s="1"/>
    </row>
    <row r="1095" spans="4:4" x14ac:dyDescent="0.35">
      <c r="D1095" s="1"/>
    </row>
    <row r="1096" spans="4:4" x14ac:dyDescent="0.35">
      <c r="D1096" s="1"/>
    </row>
    <row r="1097" spans="4:4" x14ac:dyDescent="0.35">
      <c r="D1097" s="1"/>
    </row>
    <row r="1098" spans="4:4" x14ac:dyDescent="0.35">
      <c r="D1098" s="1"/>
    </row>
    <row r="1099" spans="4:4" x14ac:dyDescent="0.35">
      <c r="D1099" s="1"/>
    </row>
    <row r="1100" spans="4:4" x14ac:dyDescent="0.35">
      <c r="D1100" s="1"/>
    </row>
    <row r="1101" spans="4:4" x14ac:dyDescent="0.35">
      <c r="D1101" s="1"/>
    </row>
    <row r="1102" spans="4:4" x14ac:dyDescent="0.35">
      <c r="D1102" s="1"/>
    </row>
    <row r="1103" spans="4:4" x14ac:dyDescent="0.35">
      <c r="D1103" s="1"/>
    </row>
    <row r="1104" spans="4:4" x14ac:dyDescent="0.35">
      <c r="D1104" s="1"/>
    </row>
    <row r="1105" spans="4:4" x14ac:dyDescent="0.35">
      <c r="D1105" s="1"/>
    </row>
    <row r="1106" spans="4:4" x14ac:dyDescent="0.35">
      <c r="D1106" s="1"/>
    </row>
    <row r="1107" spans="4:4" x14ac:dyDescent="0.35">
      <c r="D1107" s="1"/>
    </row>
    <row r="1108" spans="4:4" x14ac:dyDescent="0.35">
      <c r="D1108" s="1"/>
    </row>
    <row r="1109" spans="4:4" x14ac:dyDescent="0.35">
      <c r="D1109" s="1"/>
    </row>
    <row r="1110" spans="4:4" x14ac:dyDescent="0.35">
      <c r="D1110" s="1"/>
    </row>
    <row r="1111" spans="4:4" x14ac:dyDescent="0.35">
      <c r="D1111" s="1"/>
    </row>
    <row r="1112" spans="4:4" x14ac:dyDescent="0.35">
      <c r="D1112" s="1"/>
    </row>
    <row r="1113" spans="4:4" x14ac:dyDescent="0.35">
      <c r="D1113" s="1"/>
    </row>
    <row r="1114" spans="4:4" x14ac:dyDescent="0.35">
      <c r="D1114" s="1"/>
    </row>
    <row r="1115" spans="4:4" x14ac:dyDescent="0.35">
      <c r="D1115" s="1"/>
    </row>
    <row r="1116" spans="4:4" x14ac:dyDescent="0.35">
      <c r="D1116" s="1"/>
    </row>
    <row r="1117" spans="4:4" x14ac:dyDescent="0.35">
      <c r="D1117" s="1"/>
    </row>
    <row r="1118" spans="4:4" x14ac:dyDescent="0.35">
      <c r="D1118" s="1"/>
    </row>
    <row r="1119" spans="4:4" x14ac:dyDescent="0.35">
      <c r="D1119" s="1"/>
    </row>
    <row r="1120" spans="4:4" x14ac:dyDescent="0.35">
      <c r="D1120" s="1"/>
    </row>
    <row r="1121" spans="4:4" x14ac:dyDescent="0.35">
      <c r="D1121" s="1"/>
    </row>
    <row r="1122" spans="4:4" x14ac:dyDescent="0.35">
      <c r="D1122" s="1"/>
    </row>
    <row r="1123" spans="4:4" x14ac:dyDescent="0.35">
      <c r="D1123" s="1"/>
    </row>
    <row r="1124" spans="4:4" x14ac:dyDescent="0.35">
      <c r="D1124" s="1"/>
    </row>
    <row r="1125" spans="4:4" x14ac:dyDescent="0.35">
      <c r="D1125" s="1"/>
    </row>
    <row r="1126" spans="4:4" x14ac:dyDescent="0.35">
      <c r="D1126" s="1"/>
    </row>
    <row r="1127" spans="4:4" x14ac:dyDescent="0.35">
      <c r="D1127" s="1"/>
    </row>
    <row r="1128" spans="4:4" x14ac:dyDescent="0.35">
      <c r="D1128" s="1"/>
    </row>
    <row r="1129" spans="4:4" x14ac:dyDescent="0.35">
      <c r="D1129" s="1"/>
    </row>
    <row r="1130" spans="4:4" x14ac:dyDescent="0.35">
      <c r="D1130" s="1"/>
    </row>
    <row r="1131" spans="4:4" x14ac:dyDescent="0.35">
      <c r="D1131" s="1"/>
    </row>
    <row r="1132" spans="4:4" x14ac:dyDescent="0.35">
      <c r="D1132" s="1"/>
    </row>
    <row r="1133" spans="4:4" x14ac:dyDescent="0.35">
      <c r="D1133" s="1"/>
    </row>
    <row r="1134" spans="4:4" x14ac:dyDescent="0.35">
      <c r="D1134" s="1"/>
    </row>
    <row r="1135" spans="4:4" x14ac:dyDescent="0.35">
      <c r="D1135" s="1"/>
    </row>
    <row r="1136" spans="4:4" x14ac:dyDescent="0.35">
      <c r="D1136" s="1"/>
    </row>
    <row r="1137" spans="4:4" x14ac:dyDescent="0.35">
      <c r="D1137" s="1"/>
    </row>
    <row r="1138" spans="4:4" x14ac:dyDescent="0.35">
      <c r="D1138" s="1"/>
    </row>
    <row r="1139" spans="4:4" x14ac:dyDescent="0.35">
      <c r="D1139" s="1"/>
    </row>
    <row r="1140" spans="4:4" x14ac:dyDescent="0.35">
      <c r="D1140" s="1"/>
    </row>
    <row r="1141" spans="4:4" x14ac:dyDescent="0.35">
      <c r="D1141" s="1"/>
    </row>
    <row r="1142" spans="4:4" x14ac:dyDescent="0.35">
      <c r="D1142" s="1"/>
    </row>
    <row r="1143" spans="4:4" x14ac:dyDescent="0.35">
      <c r="D1143" s="1"/>
    </row>
    <row r="1144" spans="4:4" x14ac:dyDescent="0.35">
      <c r="D1144" s="1"/>
    </row>
    <row r="1145" spans="4:4" x14ac:dyDescent="0.35">
      <c r="D1145" s="1"/>
    </row>
    <row r="1146" spans="4:4" x14ac:dyDescent="0.35">
      <c r="D1146" s="1"/>
    </row>
    <row r="1147" spans="4:4" x14ac:dyDescent="0.35">
      <c r="D1147"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ShowOutputForm">
                <anchor moveWithCells="1" sizeWithCells="1">
                  <from>
                    <xdr:col>1</xdr:col>
                    <xdr:colOff>222250</xdr:colOff>
                    <xdr:row>1</xdr:row>
                    <xdr:rowOff>114300</xdr:rowOff>
                  </from>
                  <to>
                    <xdr:col>2</xdr:col>
                    <xdr:colOff>425450</xdr:colOff>
                    <xdr:row>2</xdr:row>
                    <xdr:rowOff>146050</xdr:rowOff>
                  </to>
                </anchor>
              </controlPr>
            </control>
          </mc:Choice>
        </mc:AlternateContent>
        <mc:AlternateContent xmlns:mc="http://schemas.openxmlformats.org/markup-compatibility/2006">
          <mc:Choice Requires="x14">
            <control shapeId="9218" r:id="rId4" name="Button 2">
              <controlPr defaultSize="0" print="0" autoFill="0" autoPict="0" macro="[0]!ClearOutput">
                <anchor moveWithCells="1" sizeWithCells="1">
                  <from>
                    <xdr:col>1</xdr:col>
                    <xdr:colOff>222250</xdr:colOff>
                    <xdr:row>3</xdr:row>
                    <xdr:rowOff>57150</xdr:rowOff>
                  </from>
                  <to>
                    <xdr:col>2</xdr:col>
                    <xdr:colOff>425450</xdr:colOff>
                    <xdr:row>4</xdr:row>
                    <xdr:rowOff>88900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9E6EB-D8F2-4E10-8991-D65A0DA2A817}">
  <sheetPr codeName="Sheet5"/>
  <dimension ref="A1:M8"/>
  <sheetViews>
    <sheetView workbookViewId="0">
      <selection activeCell="H9" sqref="H9"/>
    </sheetView>
  </sheetViews>
  <sheetFormatPr defaultRowHeight="14.5" x14ac:dyDescent="0.35"/>
  <cols>
    <col min="1" max="1" width="17.54296875" style="38" customWidth="1"/>
    <col min="2" max="2" width="14.08984375" style="38" customWidth="1"/>
    <col min="3" max="3" width="15.54296875" style="38" customWidth="1"/>
    <col min="4" max="4" width="17.08984375" style="38" customWidth="1"/>
    <col min="5" max="5" width="8.7265625" style="38"/>
    <col min="6" max="6" width="14.1796875" customWidth="1"/>
    <col min="7" max="7" width="30.453125" customWidth="1"/>
    <col min="8" max="8" width="17.453125" customWidth="1"/>
    <col min="9" max="9" width="17.7265625" style="48" customWidth="1"/>
    <col min="10" max="10" width="15" customWidth="1"/>
    <col min="11" max="11" width="14.08984375" customWidth="1"/>
    <col min="12" max="12" width="28" customWidth="1"/>
    <col min="13" max="13" width="19.1796875" customWidth="1"/>
  </cols>
  <sheetData>
    <row r="1" spans="1:13" s="3" customFormat="1" ht="35" customHeight="1" x14ac:dyDescent="0.6">
      <c r="A1" s="37" t="s">
        <v>38</v>
      </c>
      <c r="B1" s="38"/>
      <c r="C1" s="38"/>
      <c r="D1" s="38"/>
      <c r="E1" s="38"/>
      <c r="F1" s="37" t="s">
        <v>46</v>
      </c>
      <c r="G1" s="38"/>
      <c r="H1" s="38"/>
      <c r="I1" s="48"/>
    </row>
    <row r="2" spans="1:13" s="2" customFormat="1" ht="23.5" customHeight="1" x14ac:dyDescent="0.35">
      <c r="A2" s="39" t="s">
        <v>10</v>
      </c>
      <c r="B2" s="39" t="s">
        <v>11</v>
      </c>
      <c r="C2" s="39" t="s">
        <v>24</v>
      </c>
      <c r="D2" s="39" t="s">
        <v>39</v>
      </c>
      <c r="E2" s="47"/>
      <c r="F2" s="39" t="s">
        <v>45</v>
      </c>
      <c r="G2" s="39" t="s">
        <v>3</v>
      </c>
      <c r="H2" s="39" t="s">
        <v>47</v>
      </c>
      <c r="I2" s="49"/>
      <c r="K2" s="2" t="s">
        <v>75</v>
      </c>
    </row>
    <row r="3" spans="1:13" ht="15.5" x14ac:dyDescent="0.35">
      <c r="A3" s="40">
        <v>1000</v>
      </c>
      <c r="B3" s="41">
        <v>600</v>
      </c>
      <c r="C3" s="41">
        <v>300</v>
      </c>
      <c r="D3" s="42">
        <f>SUM(A3:C3)</f>
        <v>1900</v>
      </c>
      <c r="F3" s="55">
        <v>44927</v>
      </c>
      <c r="G3" t="s">
        <v>67</v>
      </c>
      <c r="H3" s="13">
        <v>30000</v>
      </c>
      <c r="K3" s="55">
        <v>44927</v>
      </c>
      <c r="L3" t="s">
        <v>67</v>
      </c>
      <c r="M3" s="13">
        <v>10000</v>
      </c>
    </row>
    <row r="4" spans="1:13" x14ac:dyDescent="0.35">
      <c r="F4" s="55">
        <v>45292</v>
      </c>
      <c r="G4" t="s">
        <v>68</v>
      </c>
      <c r="H4" s="13">
        <v>10000</v>
      </c>
      <c r="K4" s="55">
        <v>45292</v>
      </c>
      <c r="L4" t="s">
        <v>68</v>
      </c>
      <c r="M4" s="13">
        <v>10000</v>
      </c>
    </row>
    <row r="5" spans="1:13" x14ac:dyDescent="0.35">
      <c r="F5" s="55">
        <v>44562</v>
      </c>
      <c r="G5" t="s">
        <v>69</v>
      </c>
      <c r="H5" s="13">
        <v>500</v>
      </c>
      <c r="K5" s="55">
        <v>44562</v>
      </c>
      <c r="L5" t="s">
        <v>69</v>
      </c>
      <c r="M5" s="13">
        <v>500</v>
      </c>
    </row>
    <row r="6" spans="1:13" x14ac:dyDescent="0.35">
      <c r="F6" s="55">
        <v>45658</v>
      </c>
      <c r="G6" t="s">
        <v>74</v>
      </c>
      <c r="H6" s="13">
        <v>1000000</v>
      </c>
      <c r="K6" s="55">
        <v>45658</v>
      </c>
      <c r="L6" t="s">
        <v>74</v>
      </c>
      <c r="M6" s="13">
        <v>1000000</v>
      </c>
    </row>
    <row r="7" spans="1:13" x14ac:dyDescent="0.35">
      <c r="F7" s="3"/>
    </row>
    <row r="8" spans="1:13" x14ac:dyDescent="0.35">
      <c r="F8"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ShowGoalsForm">
                <anchor moveWithCells="1" sizeWithCells="1">
                  <from>
                    <xdr:col>8</xdr:col>
                    <xdr:colOff>323850</xdr:colOff>
                    <xdr:row>0</xdr:row>
                    <xdr:rowOff>400050</xdr:rowOff>
                  </from>
                  <to>
                    <xdr:col>8</xdr:col>
                    <xdr:colOff>984250</xdr:colOff>
                    <xdr:row>3</xdr:row>
                    <xdr:rowOff>158750</xdr:rowOff>
                  </to>
                </anchor>
              </controlPr>
            </control>
          </mc:Choice>
        </mc:AlternateContent>
        <mc:AlternateContent xmlns:mc="http://schemas.openxmlformats.org/markup-compatibility/2006">
          <mc:Choice Requires="x14">
            <control shapeId="6146" r:id="rId4" name="Button 2">
              <controlPr defaultSize="0" print="0" autoFill="0" autoPict="0" macro="[0]!ClearGoals">
                <anchor moveWithCells="1" sizeWithCells="1">
                  <from>
                    <xdr:col>8</xdr:col>
                    <xdr:colOff>323850</xdr:colOff>
                    <xdr:row>4</xdr:row>
                    <xdr:rowOff>101600</xdr:rowOff>
                  </from>
                  <to>
                    <xdr:col>8</xdr:col>
                    <xdr:colOff>984250</xdr:colOff>
                    <xdr:row>6</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4CE61-2C6B-4750-B414-C3E03CEC8B2C}">
  <sheetPr codeName="Sheet3"/>
  <dimension ref="D5:K27"/>
  <sheetViews>
    <sheetView workbookViewId="0">
      <selection activeCell="P22" sqref="P22"/>
    </sheetView>
  </sheetViews>
  <sheetFormatPr defaultRowHeight="14.5" x14ac:dyDescent="0.35"/>
  <cols>
    <col min="1" max="16384" width="8.7265625" style="63"/>
  </cols>
  <sheetData>
    <row r="5" spans="4:11" x14ac:dyDescent="0.35">
      <c r="D5" s="16"/>
      <c r="E5" s="16"/>
      <c r="F5" s="16"/>
      <c r="G5" s="16"/>
      <c r="H5" s="16"/>
      <c r="I5" s="16"/>
      <c r="J5" s="16"/>
      <c r="K5" s="16"/>
    </row>
    <row r="6" spans="4:11" x14ac:dyDescent="0.35">
      <c r="D6" s="16"/>
      <c r="E6" s="16"/>
      <c r="F6" s="16"/>
      <c r="G6" s="16"/>
      <c r="H6" s="16"/>
      <c r="I6" s="16"/>
      <c r="J6" s="16"/>
      <c r="K6" s="16"/>
    </row>
    <row r="7" spans="4:11" x14ac:dyDescent="0.35">
      <c r="D7" s="16"/>
      <c r="E7" s="16"/>
      <c r="F7" s="16"/>
      <c r="G7" s="16"/>
      <c r="H7" s="16"/>
      <c r="I7" s="16"/>
      <c r="J7" s="16"/>
      <c r="K7" s="16"/>
    </row>
    <row r="8" spans="4:11" x14ac:dyDescent="0.35">
      <c r="D8" s="16"/>
      <c r="E8" s="16"/>
      <c r="F8" s="16"/>
      <c r="G8" s="16"/>
      <c r="H8" s="16"/>
      <c r="I8" s="16"/>
      <c r="J8" s="16"/>
      <c r="K8" s="16"/>
    </row>
    <row r="9" spans="4:11" x14ac:dyDescent="0.35">
      <c r="D9" s="16"/>
      <c r="E9" s="16"/>
      <c r="F9" s="16"/>
      <c r="G9" s="16"/>
      <c r="H9" s="16"/>
      <c r="I9" s="16"/>
      <c r="J9" s="16"/>
      <c r="K9" s="16"/>
    </row>
    <row r="10" spans="4:11" x14ac:dyDescent="0.35">
      <c r="D10" s="16"/>
      <c r="E10" s="16"/>
      <c r="F10" s="16"/>
      <c r="G10" s="16"/>
      <c r="H10" s="16"/>
      <c r="I10" s="16"/>
      <c r="J10" s="16"/>
      <c r="K10" s="16"/>
    </row>
    <row r="11" spans="4:11" x14ac:dyDescent="0.35">
      <c r="D11" s="16"/>
      <c r="E11" s="16"/>
      <c r="F11" s="16"/>
      <c r="G11" s="16"/>
      <c r="H11" s="16"/>
      <c r="I11" s="16"/>
      <c r="J11" s="16"/>
      <c r="K11" s="16"/>
    </row>
    <row r="12" spans="4:11" x14ac:dyDescent="0.35">
      <c r="D12" s="16"/>
      <c r="E12" s="16"/>
      <c r="F12" s="16"/>
      <c r="G12" s="16"/>
      <c r="H12" s="16"/>
      <c r="I12" s="16"/>
      <c r="J12" s="16"/>
      <c r="K12" s="16"/>
    </row>
    <row r="13" spans="4:11" x14ac:dyDescent="0.35">
      <c r="D13" s="16"/>
      <c r="E13" s="16"/>
      <c r="F13" s="16"/>
      <c r="G13" s="16"/>
      <c r="H13" s="16"/>
      <c r="I13" s="16"/>
      <c r="J13" s="16"/>
      <c r="K13" s="16"/>
    </row>
    <row r="14" spans="4:11" x14ac:dyDescent="0.35">
      <c r="D14" s="16"/>
      <c r="E14" s="16"/>
      <c r="F14" s="16"/>
      <c r="G14" s="16"/>
      <c r="H14" s="16"/>
      <c r="I14" s="16"/>
      <c r="J14" s="16"/>
      <c r="K14" s="16"/>
    </row>
    <row r="15" spans="4:11" x14ac:dyDescent="0.35">
      <c r="D15" s="16"/>
      <c r="E15" s="16"/>
      <c r="F15" s="16"/>
      <c r="G15" s="16"/>
      <c r="H15" s="16"/>
      <c r="I15" s="16"/>
      <c r="J15" s="16"/>
      <c r="K15" s="16"/>
    </row>
    <row r="16" spans="4:11" x14ac:dyDescent="0.35">
      <c r="D16" s="16"/>
      <c r="E16" s="16"/>
      <c r="F16" s="16"/>
      <c r="G16" s="16"/>
      <c r="H16" s="16"/>
      <c r="I16" s="16"/>
      <c r="J16" s="16"/>
      <c r="K16" s="16"/>
    </row>
    <row r="17" spans="4:11" x14ac:dyDescent="0.35">
      <c r="D17" s="16"/>
      <c r="E17" s="16"/>
      <c r="F17" s="16"/>
      <c r="G17" s="16"/>
      <c r="H17" s="16"/>
      <c r="I17" s="16"/>
      <c r="J17" s="16"/>
      <c r="K17" s="16"/>
    </row>
    <row r="18" spans="4:11" x14ac:dyDescent="0.35">
      <c r="D18" s="16"/>
      <c r="E18" s="16"/>
      <c r="F18" s="16"/>
      <c r="G18" s="16"/>
      <c r="H18" s="16"/>
      <c r="I18" s="16"/>
      <c r="J18" s="16"/>
      <c r="K18" s="16"/>
    </row>
    <row r="19" spans="4:11" x14ac:dyDescent="0.35">
      <c r="D19" s="16"/>
      <c r="E19" s="16"/>
      <c r="F19" s="16"/>
      <c r="G19" s="16"/>
      <c r="H19" s="16"/>
      <c r="I19" s="16"/>
      <c r="J19" s="16"/>
      <c r="K19" s="16"/>
    </row>
    <row r="20" spans="4:11" x14ac:dyDescent="0.35">
      <c r="D20" s="16"/>
      <c r="E20" s="16"/>
      <c r="F20" s="16"/>
      <c r="G20" s="16"/>
      <c r="H20" s="16"/>
      <c r="I20" s="16"/>
      <c r="J20" s="16"/>
      <c r="K20" s="16"/>
    </row>
    <row r="21" spans="4:11" x14ac:dyDescent="0.35">
      <c r="D21" s="16"/>
      <c r="E21" s="16"/>
      <c r="F21" s="16"/>
      <c r="G21" s="16"/>
      <c r="H21" s="16"/>
      <c r="I21" s="16"/>
      <c r="J21" s="16"/>
      <c r="K21" s="16"/>
    </row>
    <row r="22" spans="4:11" x14ac:dyDescent="0.35">
      <c r="D22" s="16"/>
      <c r="E22" s="16"/>
      <c r="F22" s="16"/>
      <c r="G22" s="16"/>
      <c r="H22" s="16"/>
      <c r="I22" s="16"/>
      <c r="J22" s="16"/>
      <c r="K22" s="16"/>
    </row>
    <row r="23" spans="4:11" x14ac:dyDescent="0.35">
      <c r="D23" s="16"/>
      <c r="E23" s="16"/>
      <c r="F23" s="16"/>
      <c r="G23" s="16"/>
      <c r="H23" s="16"/>
      <c r="I23" s="16"/>
      <c r="J23" s="16"/>
      <c r="K23" s="16"/>
    </row>
    <row r="24" spans="4:11" x14ac:dyDescent="0.35">
      <c r="D24" s="16"/>
      <c r="E24" s="16"/>
      <c r="F24" s="16"/>
      <c r="G24" s="16"/>
      <c r="H24" s="16"/>
      <c r="I24" s="16"/>
      <c r="J24" s="16"/>
      <c r="K24" s="16"/>
    </row>
    <row r="25" spans="4:11" x14ac:dyDescent="0.35">
      <c r="D25" s="16"/>
      <c r="E25" s="16"/>
      <c r="F25" s="16"/>
      <c r="G25" s="16"/>
      <c r="H25" s="16"/>
      <c r="I25" s="16"/>
      <c r="J25" s="16"/>
      <c r="K25" s="16"/>
    </row>
    <row r="26" spans="4:11" x14ac:dyDescent="0.35">
      <c r="D26" s="16"/>
      <c r="E26" s="16"/>
      <c r="F26" s="16"/>
      <c r="G26" s="16"/>
      <c r="H26" s="16"/>
      <c r="I26" s="16"/>
      <c r="J26" s="16"/>
      <c r="K26" s="16"/>
    </row>
    <row r="27" spans="4:11" x14ac:dyDescent="0.35">
      <c r="D27" s="16"/>
      <c r="E27" s="16"/>
      <c r="F27" s="16"/>
      <c r="G27" s="16"/>
      <c r="H27" s="16"/>
      <c r="I27" s="16"/>
      <c r="J27" s="16"/>
      <c r="K27" s="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ShowSelectGoalForm">
                <anchor moveWithCells="1" sizeWithCells="1">
                  <from>
                    <xdr:col>4</xdr:col>
                    <xdr:colOff>133350</xdr:colOff>
                    <xdr:row>7</xdr:row>
                    <xdr:rowOff>82550</xdr:rowOff>
                  </from>
                  <to>
                    <xdr:col>9</xdr:col>
                    <xdr:colOff>514350</xdr:colOff>
                    <xdr:row>23</xdr:row>
                    <xdr:rowOff>76200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24FF01B6E691B418AC7A3AA007394EC" ma:contentTypeVersion="2" ma:contentTypeDescription="Create a new document." ma:contentTypeScope="" ma:versionID="1e8a91b0f3e611472ade6c2772c1157e">
  <xsd:schema xmlns:xsd="http://www.w3.org/2001/XMLSchema" xmlns:xs="http://www.w3.org/2001/XMLSchema" xmlns:p="http://schemas.microsoft.com/office/2006/metadata/properties" xmlns:ns3="c1e77170-3c0a-491c-a033-5a7c184eabd7" targetNamespace="http://schemas.microsoft.com/office/2006/metadata/properties" ma:root="true" ma:fieldsID="e133f355198f9e9566125998035307b5" ns3:_="">
    <xsd:import namespace="c1e77170-3c0a-491c-a033-5a7c184eabd7"/>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1e77170-3c0a-491c-a033-5a7c184eab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5BF1E7-AB1F-4F81-A675-581015BCADBC}">
  <ds:schemaRefs>
    <ds:schemaRef ds:uri="http://schemas.microsoft.com/sharepoint/v3/contenttype/forms"/>
  </ds:schemaRefs>
</ds:datastoreItem>
</file>

<file path=customXml/itemProps2.xml><?xml version="1.0" encoding="utf-8"?>
<ds:datastoreItem xmlns:ds="http://schemas.openxmlformats.org/officeDocument/2006/customXml" ds:itemID="{11EFF735-D625-4A91-91D3-D8AC1CA2884C}">
  <ds:schemaRefs>
    <ds:schemaRef ds:uri="http://schemas.microsoft.com/office/2006/documentManagement/types"/>
    <ds:schemaRef ds:uri="http://schemas.openxmlformats.org/package/2006/metadata/core-properties"/>
    <ds:schemaRef ds:uri="http://www.w3.org/XML/1998/namespace"/>
    <ds:schemaRef ds:uri="http://purl.org/dc/terms/"/>
    <ds:schemaRef ds:uri="c1e77170-3c0a-491c-a033-5a7c184eabd7"/>
    <ds:schemaRef ds:uri="http://purl.org/dc/dcmitype/"/>
    <ds:schemaRef ds:uri="http://purl.org/dc/elements/1.1/"/>
    <ds:schemaRef ds:uri="http://schemas.microsoft.com/office/infopath/2007/PartnerControls"/>
    <ds:schemaRef ds:uri="http://schemas.microsoft.com/office/2006/metadata/properties"/>
  </ds:schemaRefs>
</ds:datastoreItem>
</file>

<file path=customXml/itemProps3.xml><?xml version="1.0" encoding="utf-8"?>
<ds:datastoreItem xmlns:ds="http://schemas.openxmlformats.org/officeDocument/2006/customXml" ds:itemID="{0A2E4275-2C25-44BB-B736-6AB4FCB757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1e77170-3c0a-491c-a033-5a7c184eabd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Investments</vt:lpstr>
      <vt:lpstr>Expenses&amp;Incomes</vt:lpstr>
      <vt:lpstr>Expenses&amp;Incomes - Expanded</vt:lpstr>
      <vt:lpstr>Expenses&amp;Incomes Charts</vt:lpstr>
      <vt:lpstr>Output - Expenses&amp;Incomes</vt:lpstr>
      <vt:lpstr>Budget&amp;Goals</vt:lpstr>
      <vt:lpstr>Financial Advice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Gillian Tsoi</dc:creator>
  <cp:keywords/>
  <dc:description/>
  <cp:lastModifiedBy>adams</cp:lastModifiedBy>
  <cp:revision/>
  <dcterms:created xsi:type="dcterms:W3CDTF">2021-10-13T18:04:27Z</dcterms:created>
  <dcterms:modified xsi:type="dcterms:W3CDTF">2022-01-14T18:58:48Z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0x010100F24FF01B6E691B418AC7A3AA007394EC</vt:lpwstr>
  </property>
</Properties>
</file>